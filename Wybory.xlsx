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Phiw/I2J1A7aQg2c3eIDnf3zStzADAFfo6LVcOpazkU="/>
    </ext>
  </extLst>
</workbook>
</file>

<file path=xl/sharedStrings.xml><?xml version="1.0" encoding="utf-8"?>
<sst xmlns="http://schemas.openxmlformats.org/spreadsheetml/2006/main" count="3660" uniqueCount="656">
  <si>
    <t>SEJM</t>
  </si>
  <si>
    <t>Okręg</t>
  </si>
  <si>
    <t>Nazwa</t>
  </si>
  <si>
    <t>Frekwencja</t>
  </si>
  <si>
    <t>Łącznie</t>
  </si>
  <si>
    <t>SCENARIUSZ 1  A</t>
  </si>
  <si>
    <t>SCENARIUSZ 1 B</t>
  </si>
  <si>
    <t>SCENARIUSZ 1 C</t>
  </si>
  <si>
    <t>Nr</t>
  </si>
  <si>
    <t>Siedziba komisji</t>
  </si>
  <si>
    <t>Obszar</t>
  </si>
  <si>
    <t>Liczba mandatów</t>
  </si>
  <si>
    <t>ChZJN</t>
  </si>
  <si>
    <t>BMN</t>
  </si>
  <si>
    <t>PSL „Piast”</t>
  </si>
  <si>
    <t>PSL „Wyz.”</t>
  </si>
  <si>
    <t>PPS</t>
  </si>
  <si>
    <t>NPR</t>
  </si>
  <si>
    <t>PC</t>
  </si>
  <si>
    <t>KZSN-Ż</t>
  </si>
  <si>
    <t>KZPMiW</t>
  </si>
  <si>
    <t>ChSR</t>
  </si>
  <si>
    <t>„Bund”</t>
  </si>
  <si>
    <t>ZN-Ż</t>
  </si>
  <si>
    <t>PSL-L</t>
  </si>
  <si>
    <t>ŻDBL</t>
  </si>
  <si>
    <t>Inni</t>
  </si>
  <si>
    <t>Polski Związek Ludowy</t>
  </si>
  <si>
    <t>Wspólnota Mniejszości Narodowych</t>
  </si>
  <si>
    <t>Partia Jedności Narodowej</t>
  </si>
  <si>
    <t>Gdyby partie na lewo startowały jako jedna koalicja</t>
  </si>
  <si>
    <t>Warszawa</t>
  </si>
  <si>
    <t>Miasto Stołeczne Warszawa</t>
  </si>
  <si>
    <t>Warszawa I</t>
  </si>
  <si>
    <t>–</t>
  </si>
  <si>
    <t>powiaty: Warszawa powiat[5], Radzymin, Mińsk Mazowiecki</t>
  </si>
  <si>
    <t>Warszawa II</t>
  </si>
  <si>
    <t>Siedlce</t>
  </si>
  <si>
    <t>powiaty: Siedlce, Sokołów, Węgrów</t>
  </si>
  <si>
    <t>Ostrów</t>
  </si>
  <si>
    <t>powiaty: Ostrów, Bielsk, Białowieża, Wysokie Mazowieckie</t>
  </si>
  <si>
    <t>Białystok</t>
  </si>
  <si>
    <t>powiaty: Białystok, Sokółka, Wołkowysk</t>
  </si>
  <si>
    <t>Grodno</t>
  </si>
  <si>
    <t>powiaty: Grodno, Suwałki, Sejny, Augustów</t>
  </si>
  <si>
    <t xml:space="preserve">Obliczyć mandaty różnymi sposobami (D'Hondt, Sainte-Laguë, Adams, Jefferson (czyli D'Hondt, ale z progiem 5%)
,Hamilton/Hare) </t>
  </si>
  <si>
    <t>Łomża</t>
  </si>
  <si>
    <t>powiaty: Łomża, Kolno, Ostrołęka, Szczuczyn</t>
  </si>
  <si>
    <t>Ciechanów</t>
  </si>
  <si>
    <t>powiaty: Ciechanów, Mława, Pułtusk, Przasnysz, Maków</t>
  </si>
  <si>
    <t>Płock</t>
  </si>
  <si>
    <t>powiaty: Płock, Sierpc, Rypin, Płońsk</t>
  </si>
  <si>
    <t>Włocławek</t>
  </si>
  <si>
    <t>powiaty: Włocławek, Nieszawa, Lipno</t>
  </si>
  <si>
    <t>Łowicz</t>
  </si>
  <si>
    <t>powiaty: Łowicz, Kutno, Gostynin, Sochaczew</t>
  </si>
  <si>
    <t>Grodzisk</t>
  </si>
  <si>
    <t>powiaty: Błonie (Grodzisk), Skierniewice, Rawa, Grójec</t>
  </si>
  <si>
    <t>Łódź</t>
  </si>
  <si>
    <t>miasto Łódź</t>
  </si>
  <si>
    <t>Łódź I</t>
  </si>
  <si>
    <t>powiaty: Łódź powiat[6], Łask, Sieradz</t>
  </si>
  <si>
    <t>Łódź II</t>
  </si>
  <si>
    <t>Konin</t>
  </si>
  <si>
    <t>powiaty: Konin, Koło, Słupca, Łęczyca</t>
  </si>
  <si>
    <t>Kalisz</t>
  </si>
  <si>
    <t>powiaty: Kalisz, Turek, Wieluń</t>
  </si>
  <si>
    <t>Częstochowa</t>
  </si>
  <si>
    <t>powiaty: Częstochowa, Radomsko</t>
  </si>
  <si>
    <t>Piotrków</t>
  </si>
  <si>
    <t>powiaty: Piotrków, Brzeziny</t>
  </si>
  <si>
    <t>Radom</t>
  </si>
  <si>
    <t>powiaty: Radom, Końskie, Opoczno</t>
  </si>
  <si>
    <t>Kielce</t>
  </si>
  <si>
    <t>powiaty: Kielce, Jędrzejów, Włoszczowa</t>
  </si>
  <si>
    <t>Będzin</t>
  </si>
  <si>
    <t>powiat Będzin</t>
  </si>
  <si>
    <t>Zmniejszyć ilość okręgów</t>
  </si>
  <si>
    <t>Sandomierz</t>
  </si>
  <si>
    <t>powiaty: Sandomierz, Stopnica, Pińczów</t>
  </si>
  <si>
    <t>Wierzbnik</t>
  </si>
  <si>
    <t>powiaty: Iłża (Wierzbnik), Kozienice, Opatów</t>
  </si>
  <si>
    <t>Łuków</t>
  </si>
  <si>
    <t>powiaty: Łuków, Garwolin, Puławy</t>
  </si>
  <si>
    <t>Biała Podlaska</t>
  </si>
  <si>
    <t>powiaty: Biała Podlaska, Radzyń, Konstantynów, Włodawa</t>
  </si>
  <si>
    <t>Lublin</t>
  </si>
  <si>
    <t>powiaty: Lublin, Chełm, Lubartów</t>
  </si>
  <si>
    <t>Zamość</t>
  </si>
  <si>
    <t>powiaty: Zamość, Biłgoraj, Tomaszów</t>
  </si>
  <si>
    <t>Krasnystaw</t>
  </si>
  <si>
    <t>powiaty: Krasnystaw, Hrubieszów, Janów</t>
  </si>
  <si>
    <t>Tczew</t>
  </si>
  <si>
    <t>powiaty: Tczew, Starogard, Gniew, Kościerzyna, Kartuzy, Wejherowo, Puck</t>
  </si>
  <si>
    <t>Grudziądz</t>
  </si>
  <si>
    <t>powiaty: Grudziądz miasto, Grudziądz powiat, Świecie, Tuchola, Chojnice, Sępolno</t>
  </si>
  <si>
    <t>Toruń</t>
  </si>
  <si>
    <t>powiaty: Toruń miasto, Toruń powiat, Chełmno, Wąbrzeźno, Brodnica, Lubawa, Działdowo</t>
  </si>
  <si>
    <t>Bydgoszcz</t>
  </si>
  <si>
    <t>powiaty: Bydgoszcz miasto, Bydgoszcz powiat, Inowrocław, Szubin, Wyrzysk, Strzelno, Żnin</t>
  </si>
  <si>
    <t>Gniezno</t>
  </si>
  <si>
    <t>powiaty: Gniezno, Mogilno, Września, Środa, Witkowo, Wągrowiec, Oborniki</t>
  </si>
  <si>
    <t>Poznań</t>
  </si>
  <si>
    <t>miasto Poznań</t>
  </si>
  <si>
    <t>Poznań I</t>
  </si>
  <si>
    <t>powiaty: Poznań-Wschód, Poznań-Zachód, Śrem, Kościan, Leszno, Rawicz</t>
  </si>
  <si>
    <t>Poznań II</t>
  </si>
  <si>
    <t>Szamotuły</t>
  </si>
  <si>
    <t>powiaty: Szamotuły, Czarnków, Chodzież, Międzychód, Nowy Tomyśl, Grodzisk, Wolsztyn, Śmigiel</t>
  </si>
  <si>
    <t>powiaty: Ostrów, Odolanów, Ostrzeszów, Kępno, Pleszew, Jarocin, Koźmin, Krotoszyn, Gostyń</t>
  </si>
  <si>
    <t>Huta Królewska</t>
  </si>
  <si>
    <t>powiaty: Huta Królewska, Świętochłowice, Lubliniec, Tarnowskie Góry</t>
  </si>
  <si>
    <t>Katowice</t>
  </si>
  <si>
    <t>powiaty: Katowice miasto, Katowice powiat, Ruda</t>
  </si>
  <si>
    <t>Cieszyn</t>
  </si>
  <si>
    <t>powiaty: Cieszyn, Bielsko miasto, Bielsko powiat, Pszczyna, Rybnik</t>
  </si>
  <si>
    <t>Kraków</t>
  </si>
  <si>
    <t>miasto Kraków</t>
  </si>
  <si>
    <t>Kraków I</t>
  </si>
  <si>
    <t>powiaty: Kraków powiat[7], Chrzanów, Oświęcim, Podgórze, Olkusz, Miechów</t>
  </si>
  <si>
    <t>Kraków II</t>
  </si>
  <si>
    <t>Wadowice</t>
  </si>
  <si>
    <t>powiaty: Wadowice, Biała, Myślenice, Żywiec, Nowy Targ, Spisz-Orawa</t>
  </si>
  <si>
    <t>Nowy Sącz</t>
  </si>
  <si>
    <t>powiaty: Nowy Sącz, Limanowa, Bochnia, Wieliczka</t>
  </si>
  <si>
    <t>Tarnów</t>
  </si>
  <si>
    <t>powiaty: Tarnów, Pilzno, Brzesko, Dąbrowa, Grybów, Gorlice</t>
  </si>
  <si>
    <t>Jasło</t>
  </si>
  <si>
    <t>powiaty: Jasło, Ropczyce, Strzyżów, Mielec, Kolbuszowa, Tarnobrzeg</t>
  </si>
  <si>
    <t>Rzeszów</t>
  </si>
  <si>
    <t>powiaty: Rzeszów, Jarosław, Przeworsk, Łańcut, Nisko</t>
  </si>
  <si>
    <r>
      <rPr>
        <rFont val="Aptos Narrow"/>
        <color theme="1"/>
        <sz val="9.0"/>
      </rPr>
      <t>14,15</t>
    </r>
    <r>
      <rPr>
        <rFont val="Aptos Narrow"/>
        <color theme="1"/>
        <sz val="9.0"/>
        <vertAlign val="superscript"/>
      </rPr>
      <t>a</t>
    </r>
  </si>
  <si>
    <r>
      <rPr>
        <rFont val="Aptos Narrow"/>
        <color theme="1"/>
        <sz val="9.0"/>
      </rPr>
      <t>1</t>
    </r>
    <r>
      <rPr>
        <rFont val="Aptos Narrow"/>
        <color theme="1"/>
        <sz val="9.0"/>
        <vertAlign val="superscript"/>
      </rPr>
      <t>a</t>
    </r>
  </si>
  <si>
    <t>14,15</t>
  </si>
  <si>
    <t>Przemyśl</t>
  </si>
  <si>
    <t>powiaty: Przemyśl, Dobromil, Sanok, Brzozów, Krosno</t>
  </si>
  <si>
    <t>Sambor</t>
  </si>
  <si>
    <t>powiaty: Sambor, Stary Sambor, Lisko, Rudki, Mościska, Gródek Jagielloński</t>
  </si>
  <si>
    <r>
      <rPr>
        <rFont val="Aptos Narrow"/>
        <color theme="1"/>
        <sz val="9.0"/>
      </rPr>
      <t>20,90</t>
    </r>
    <r>
      <rPr>
        <rFont val="Aptos Narrow"/>
        <color theme="1"/>
        <sz val="9.0"/>
        <vertAlign val="superscript"/>
      </rPr>
      <t>b</t>
    </r>
  </si>
  <si>
    <r>
      <rPr>
        <rFont val="Aptos Narrow"/>
        <color theme="1"/>
        <sz val="9.0"/>
      </rPr>
      <t>1</t>
    </r>
    <r>
      <rPr>
        <rFont val="Aptos Narrow"/>
        <color theme="1"/>
        <sz val="9.0"/>
        <vertAlign val="superscript"/>
      </rPr>
      <t>b</t>
    </r>
  </si>
  <si>
    <t>20,90</t>
  </si>
  <si>
    <t>Lwów</t>
  </si>
  <si>
    <t>miasto Lwów</t>
  </si>
  <si>
    <t>Żółkiew</t>
  </si>
  <si>
    <t>powiaty: Lwów powiat[8], Żółkiew, Sokal, Rawa Ruska, Jaworów, Cieszanów</t>
  </si>
  <si>
    <t>Stryj</t>
  </si>
  <si>
    <t>powiaty: Stryj, Drohobycz, Turka, Skole, Dolina, Kałusz</t>
  </si>
  <si>
    <r>
      <rPr>
        <rFont val="Aptos Narrow"/>
        <color theme="1"/>
        <sz val="9.0"/>
      </rPr>
      <t>18,21</t>
    </r>
    <r>
      <rPr>
        <rFont val="Aptos Narrow"/>
        <color theme="1"/>
        <sz val="9.0"/>
        <vertAlign val="superscript"/>
      </rPr>
      <t>c</t>
    </r>
  </si>
  <si>
    <r>
      <rPr>
        <rFont val="Aptos Narrow"/>
        <color theme="1"/>
        <sz val="9.0"/>
      </rPr>
      <t>1</t>
    </r>
    <r>
      <rPr>
        <rFont val="Aptos Narrow"/>
        <color theme="1"/>
        <sz val="9.0"/>
        <vertAlign val="superscript"/>
      </rPr>
      <t>c</t>
    </r>
  </si>
  <si>
    <t>18,21</t>
  </si>
  <si>
    <t>Stanisławów</t>
  </si>
  <si>
    <t>powiaty: Stanisławów, Tłumacz, Bohorodczany, Nadwórna, Kołomyja, Horodenka, Śniatyn, Kosów, Peczeniżyn</t>
  </si>
  <si>
    <r>
      <rPr>
        <rFont val="Aptos Narrow"/>
        <b/>
        <color theme="1"/>
        <sz val="9.0"/>
      </rPr>
      <t>32,90</t>
    </r>
    <r>
      <rPr>
        <rFont val="Aptos Narrow"/>
        <b/>
        <color theme="1"/>
        <sz val="9.0"/>
        <vertAlign val="superscript"/>
      </rPr>
      <t>d</t>
    </r>
  </si>
  <si>
    <r>
      <rPr>
        <rFont val="Aptos Narrow"/>
        <b/>
        <color theme="1"/>
        <sz val="9.0"/>
      </rPr>
      <t>3</t>
    </r>
    <r>
      <rPr>
        <rFont val="Aptos Narrow"/>
        <b/>
        <color theme="1"/>
        <sz val="9.0"/>
        <vertAlign val="superscript"/>
      </rPr>
      <t>d</t>
    </r>
  </si>
  <si>
    <t>32,90</t>
  </si>
  <si>
    <t>Tarnopol</t>
  </si>
  <si>
    <t>powiaty: Tarnopol, Zbaraż, Trembowla, Skałat, Podhajce, Czortków, Buczacz, Husiatyn, Borszczów, Zaleszczyki</t>
  </si>
  <si>
    <t>Złoczów</t>
  </si>
  <si>
    <t>powiaty: Złoczów, Zborów, Kamionka Strumiłowa, Brody, Radziechów, Bóbrka, Przemyślany, Żydaczów, Brzeżany</t>
  </si>
  <si>
    <r>
      <rPr>
        <rFont val="Aptos Narrow"/>
        <color theme="1"/>
        <sz val="9.0"/>
      </rPr>
      <t>7,97</t>
    </r>
    <r>
      <rPr>
        <rFont val="Aptos Narrow"/>
        <color theme="1"/>
        <sz val="9.0"/>
        <vertAlign val="superscript"/>
      </rPr>
      <t>e</t>
    </r>
  </si>
  <si>
    <t>7,97</t>
  </si>
  <si>
    <t>Kowel</t>
  </si>
  <si>
    <t>powiaty: Kowel, Luboml, Włodzimierz, Horochów</t>
  </si>
  <si>
    <t>Łuck</t>
  </si>
  <si>
    <t>powiaty: Łuck, Równe</t>
  </si>
  <si>
    <t>Krzemieniec</t>
  </si>
  <si>
    <t>powiaty: Krzemieniec, Dubno, Ostróg</t>
  </si>
  <si>
    <t>Kosów</t>
  </si>
  <si>
    <t>powiaty: Brześć nad Bugiem, Kobryń, Prużana, Kossów, Drohiczyn, Kamień Koszyrski</t>
  </si>
  <si>
    <t>Pińsk</t>
  </si>
  <si>
    <t>powiaty: Pińsk, Łuniniec, Sarny</t>
  </si>
  <si>
    <t>Nowogródek</t>
  </si>
  <si>
    <t>powiaty: Nowogródek, Stołpce, Nieśwież, Baranowicze, Słonim</t>
  </si>
  <si>
    <t>Lida</t>
  </si>
  <si>
    <t>powiaty: Lida, Oszmiana, Wołożyn, Wilejka</t>
  </si>
  <si>
    <t>Wilno</t>
  </si>
  <si>
    <t>powiaty: Wilno miasto, Wilno-Troki</t>
  </si>
  <si>
    <t>Święciany</t>
  </si>
  <si>
    <t>powiaty: Święciany, Brasław, Duniłowicze, Dzisna</t>
  </si>
  <si>
    <t>Polska</t>
  </si>
  <si>
    <t>Łącznie z list regionalnych</t>
  </si>
  <si>
    <t>SUMA</t>
  </si>
  <si>
    <t>Lista państwowa</t>
  </si>
  <si>
    <t>Razem</t>
  </si>
  <si>
    <t>SCENARIUSZ 1 A</t>
  </si>
  <si>
    <t>Partia</t>
  </si>
  <si>
    <t>Wynik okręgowy</t>
  </si>
  <si>
    <t>Wynik państwowy</t>
  </si>
  <si>
    <t>Suma mandatów</t>
  </si>
  <si>
    <t>Procent</t>
  </si>
  <si>
    <t>PJN</t>
  </si>
  <si>
    <t>Nr okręgu</t>
  </si>
  <si>
    <t>%</t>
  </si>
  <si>
    <t>Mandaty</t>
  </si>
  <si>
    <t>WPN</t>
  </si>
  <si>
    <t>Scenariusz 1 (a) (po przeliczeniach w matlabie)</t>
  </si>
  <si>
    <t>Scenariusz 1 (b) (po przeliczeniach w matlabie)</t>
  </si>
  <si>
    <t>Scenariusz 1  (po przeliczeniach w matlabie)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</si>
  <si>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</si>
  <si>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t>Głosy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</si>
  <si>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</si>
  <si>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</si>
  <si>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t>Liczba</t>
  </si>
  <si>
    <t>Chrześcijański Związek Jedności Narodowej</t>
  </si>
  <si>
    <t>Blok Mniejszości Narodowych Rzeczypospolitej Polskiej</t>
  </si>
  <si>
    <t>Polskie Centrum</t>
  </si>
  <si>
    <t>Komitet Zjednoczonych Stronnictw Narodowo-Żydowskich</t>
  </si>
  <si>
    <t>Związek Narodowo-Żydowski</t>
  </si>
  <si>
    <t>Żydowski Demokratyczny Blok Ludowy (Fołks-Partaj)</t>
  </si>
  <si>
    <t>Wpólnota mniejszości narodowych</t>
  </si>
  <si>
    <t>Inni:</t>
  </si>
  <si>
    <t>Państwowe Zjednoczenie na Kresach</t>
  </si>
  <si>
    <t>Związek Rad Ludowych</t>
  </si>
  <si>
    <t>Unia Narodowo-Państwowa</t>
  </si>
  <si>
    <r>
      <rPr>
        <rFont val="Aptos Narrow"/>
        <b/>
        <color theme="1"/>
        <sz val="11.0"/>
      </rPr>
      <t>Partia Agrarna Ukraińsko-Chłopska</t>
    </r>
    <r>
      <rPr>
        <rFont val="Aptos Narrow"/>
        <b/>
        <color theme="1"/>
        <sz val="11.0"/>
        <vertAlign val="superscript"/>
      </rPr>
      <t>[11]</t>
    </r>
  </si>
  <si>
    <t>Centrum Mieszczańskie</t>
  </si>
  <si>
    <t>Niezależny Ukraiński Chłopski Komitet[12]</t>
  </si>
  <si>
    <t>Zjednoczone Stronnictwo Narodowo-Żydowskie[13]</t>
  </si>
  <si>
    <t>Komitet Wyborczy Inwalidów i Zdemobilizowanych Wojskowych</t>
  </si>
  <si>
    <r>
      <rPr>
        <rFont val="Aptos Narrow"/>
        <b/>
        <color theme="1"/>
        <sz val="11.0"/>
      </rPr>
      <t>Partia Ukraińska „Chliboroby”</t>
    </r>
    <r>
      <rPr>
        <rFont val="Aptos Narrow"/>
        <b/>
        <color theme="1"/>
        <sz val="11.0"/>
        <vertAlign val="superscript"/>
      </rPr>
      <t>[14]</t>
    </r>
  </si>
  <si>
    <t>pozostałe ugrupowania</t>
  </si>
  <si>
    <t>Scenariusz 1 (a)</t>
  </si>
  <si>
    <t>Scenariusz 1 (b)</t>
  </si>
  <si>
    <t>Scenariusz 1 (c)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</si>
  <si>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</si>
  <si>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</si>
  <si>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</si>
  <si>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</si>
  <si>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t>Polskie Stronnictwo Ludowe „Piast”</t>
  </si>
  <si>
    <t>Polskie Stronnictwo Ludowe „Wyzwolenie”</t>
  </si>
  <si>
    <t>Polska Partia Socjalistyczna</t>
  </si>
  <si>
    <t>Narodowa Partia Robotnicza</t>
  </si>
  <si>
    <t>Komunistyczny Związek Proletariatu Miast i Wsi</t>
  </si>
  <si>
    <t>Chłopskie Stronnictwo Radykalne</t>
  </si>
  <si>
    <t>Ogólno Żydowski Robotniczy Związek w Polsce „Bund”</t>
  </si>
  <si>
    <r>
      <rPr>
        <rFont val="Aptos Narrow"/>
        <b/>
        <color theme="1"/>
        <sz val="11.0"/>
      </rPr>
      <t>Partia Agrarna Ukraińsko-Chłopska</t>
    </r>
    <r>
      <rPr>
        <rFont val="Aptos Narrow"/>
        <b/>
        <color theme="1"/>
        <sz val="11.0"/>
        <vertAlign val="superscript"/>
      </rPr>
      <t>[11]</t>
    </r>
  </si>
  <si>
    <t>Polskie Stronnictwo Ludowe – Lewica</t>
  </si>
  <si>
    <t>Scenariusz 1 c  (po przeliczeniach w matlabie)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</si>
  <si>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</si>
  <si>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</si>
  <si>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Partia Ukraińska „Chliboroby”</t>
    </r>
    <r>
      <rPr>
        <rFont val="Aptos Narrow"/>
        <b/>
        <color theme="1"/>
        <sz val="11.0"/>
        <vertAlign val="superscript"/>
      </rPr>
      <t>[14]</t>
    </r>
  </si>
  <si>
    <r>
      <rPr>
        <rFont val="Aptos Narrow"/>
        <b/>
        <color theme="1"/>
        <sz val="11.0"/>
      </rPr>
      <t>Partia Agrarna Ukraińsko-Chłopska</t>
    </r>
    <r>
      <rPr>
        <rFont val="Aptos Narrow"/>
        <b/>
        <color theme="1"/>
        <sz val="11.0"/>
        <vertAlign val="superscript"/>
      </rPr>
      <t>[11]</t>
    </r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</si>
  <si>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</si>
  <si>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r>
      <rPr>
        <rFont val="Aptos Narrow"/>
        <b/>
        <color theme="1"/>
        <sz val="11.0"/>
      </rPr>
      <t>Partia Ukraińska „Chliboroby”</t>
    </r>
    <r>
      <rPr>
        <rFont val="Aptos Narrow"/>
        <b/>
        <color theme="1"/>
        <sz val="11.0"/>
        <vertAlign val="superscript"/>
      </rPr>
      <t>[14]</t>
    </r>
  </si>
  <si>
    <r>
      <rPr>
        <rFont val="Aptos Narrow"/>
        <b/>
        <color theme="1"/>
        <sz val="11.0"/>
      </rPr>
      <t>Partia Agrarna Ukraińsko-Chłopska</t>
    </r>
    <r>
      <rPr>
        <rFont val="Aptos Narrow"/>
        <b/>
        <color theme="1"/>
        <sz val="11.0"/>
        <vertAlign val="superscript"/>
      </rPr>
      <t>[11]</t>
    </r>
  </si>
  <si>
    <r>
      <rPr>
        <rFont val="Aptos Narrow"/>
        <b/>
        <color theme="1"/>
        <sz val="11.0"/>
      </rPr>
      <t>Partia Ukraińska „Chliboroby”</t>
    </r>
    <r>
      <rPr>
        <rFont val="Aptos Narrow"/>
        <b/>
        <color theme="1"/>
        <sz val="11.0"/>
        <vertAlign val="superscript"/>
      </rPr>
      <t>[14]</t>
    </r>
  </si>
  <si>
    <t>SCENARIUSZ 1 (A)</t>
  </si>
  <si>
    <t>SCENARIUSZ 1 (B)</t>
  </si>
  <si>
    <t>SCENARIUSZ 1 (C)</t>
  </si>
  <si>
    <t>POLSKA "A"</t>
  </si>
  <si>
    <t>POLSKA "B"</t>
  </si>
  <si>
    <t>SCENARIUSZ 3 (A)</t>
  </si>
  <si>
    <t>A</t>
  </si>
  <si>
    <t>B</t>
  </si>
  <si>
    <t>Numer okręgu</t>
  </si>
  <si>
    <t>Siedziba Komisji</t>
  </si>
  <si>
    <t>Polska A</t>
  </si>
  <si>
    <t>Polska B</t>
  </si>
  <si>
    <t>SCENARIUSZ 3 (B)</t>
  </si>
  <si>
    <t>+72</t>
  </si>
  <si>
    <t>z listy krajowej</t>
  </si>
  <si>
    <t>ILOŚĆ MANDATÓW</t>
  </si>
  <si>
    <t>POLSKA A</t>
  </si>
  <si>
    <t>POLSKA B</t>
  </si>
  <si>
    <t>Okrąg wyborczy</t>
  </si>
  <si>
    <t>+PANSTWOWE</t>
  </si>
  <si>
    <t>Wyniki oficjalne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</si>
  <si>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</si>
  <si>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t>SCENARIUSZ 3 A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</si>
  <si>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</si>
  <si>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t>SCENARIUSZ 3 B</t>
  </si>
  <si>
    <r>
      <rPr>
        <rFont val="Aptos Narrow"/>
        <b/>
        <color theme="1"/>
        <sz val="11.0"/>
      </rPr>
      <t>Komitet wyborczy</t>
    </r>
    <r>
      <rPr>
        <rFont val="Aptos Narrow"/>
        <b/>
        <color theme="1"/>
        <sz val="11.0"/>
        <vertAlign val="superscript"/>
      </rPr>
      <t>[3][2]</t>
    </r>
  </si>
  <si>
    <t>41.99,</t>
  </si>
  <si>
    <t>12.59,</t>
  </si>
  <si>
    <t>33.43,</t>
  </si>
  <si>
    <t>1.61,</t>
  </si>
  <si>
    <t>0,</t>
  </si>
  <si>
    <t>5.78,</t>
  </si>
  <si>
    <t>4.6,</t>
  </si>
  <si>
    <t>22.97,</t>
  </si>
  <si>
    <t>43.6,</t>
  </si>
  <si>
    <t>56.14,</t>
  </si>
  <si>
    <t>9.68,</t>
  </si>
  <si>
    <t>31.6,</t>
  </si>
  <si>
    <t>1.64,</t>
  </si>
  <si>
    <t>0.9,</t>
  </si>
  <si>
    <t>0.04,</t>
  </si>
  <si>
    <t>10.62,</t>
  </si>
  <si>
    <t>57.78,</t>
  </si>
  <si>
    <t>54.98,</t>
  </si>
  <si>
    <t>7.94,</t>
  </si>
  <si>
    <t>30.97,</t>
  </si>
  <si>
    <t>4.65,</t>
  </si>
  <si>
    <t>0.41,</t>
  </si>
  <si>
    <t>1.05,</t>
  </si>
  <si>
    <t>9.4,</t>
  </si>
  <si>
    <t>59.63,</t>
  </si>
  <si>
    <t>56.86,</t>
  </si>
  <si>
    <t>17.18,</t>
  </si>
  <si>
    <t>21.58,</t>
  </si>
  <si>
    <t>2.75,</t>
  </si>
  <si>
    <t>0.01,</t>
  </si>
  <si>
    <t>1.62,</t>
  </si>
  <si>
    <t>18.81,</t>
  </si>
  <si>
    <t>59.61,</t>
  </si>
  <si>
    <t>22.9,</t>
  </si>
  <si>
    <t>23.81,</t>
  </si>
  <si>
    <t>27.89,</t>
  </si>
  <si>
    <t>21.64,</t>
  </si>
  <si>
    <t>0.46,</t>
  </si>
  <si>
    <t>3.3,</t>
  </si>
  <si>
    <t>27.57,</t>
  </si>
  <si>
    <t>44.54,</t>
  </si>
  <si>
    <t>27.32,</t>
  </si>
  <si>
    <t>26.11,</t>
  </si>
  <si>
    <t>42.01,</t>
  </si>
  <si>
    <t>3.37,</t>
  </si>
  <si>
    <t>0.11,</t>
  </si>
  <si>
    <t>1.08,</t>
  </si>
  <si>
    <t>27.3,</t>
  </si>
  <si>
    <t>30.69,</t>
  </si>
  <si>
    <t>56.06,</t>
  </si>
  <si>
    <t>10.7,</t>
  </si>
  <si>
    <t>28.74,</t>
  </si>
  <si>
    <t>3.84,</t>
  </si>
  <si>
    <t>0.12,</t>
  </si>
  <si>
    <t>0.54,</t>
  </si>
  <si>
    <t>11.36,</t>
  </si>
  <si>
    <t>59.9,</t>
  </si>
  <si>
    <t>55.18,</t>
  </si>
  <si>
    <t>9.27,</t>
  </si>
  <si>
    <t>32.56,</t>
  </si>
  <si>
    <t>2.99,</t>
  </si>
  <si>
    <t>58.17,</t>
  </si>
  <si>
    <t>46.91,</t>
  </si>
  <si>
    <t>12.95,</t>
  </si>
  <si>
    <t>38.03,</t>
  </si>
  <si>
    <t>1.33,</t>
  </si>
  <si>
    <t>0.78,</t>
  </si>
  <si>
    <t>13.73,</t>
  </si>
  <si>
    <t>48.24,</t>
  </si>
  <si>
    <t>40.59,</t>
  </si>
  <si>
    <t>15.53,</t>
  </si>
  <si>
    <t>37.9,</t>
  </si>
  <si>
    <t>5.47,</t>
  </si>
  <si>
    <t>0.4,</t>
  </si>
  <si>
    <t>16.04,</t>
  </si>
  <si>
    <t>46.06,</t>
  </si>
  <si>
    <t>34.79,</t>
  </si>
  <si>
    <t>10.2,</t>
  </si>
  <si>
    <t>53.4,</t>
  </si>
  <si>
    <t>0.3,</t>
  </si>
  <si>
    <t>0.23,</t>
  </si>
  <si>
    <t>10.73,</t>
  </si>
  <si>
    <t>35.87,</t>
  </si>
  <si>
    <t>34.64,</t>
  </si>
  <si>
    <t>8.91,</t>
  </si>
  <si>
    <t>53.62,</t>
  </si>
  <si>
    <t>1.29,</t>
  </si>
  <si>
    <t>0.53,</t>
  </si>
  <si>
    <t>1.01,</t>
  </si>
  <si>
    <t>10.45,</t>
  </si>
  <si>
    <t>35.93,</t>
  </si>
  <si>
    <t>28.01,</t>
  </si>
  <si>
    <t>26.96,</t>
  </si>
  <si>
    <t>40.14,</t>
  </si>
  <si>
    <t>2.15,</t>
  </si>
  <si>
    <t>2.74,</t>
  </si>
  <si>
    <t>31.85,</t>
  </si>
  <si>
    <t>36,</t>
  </si>
  <si>
    <t>19.16,</t>
  </si>
  <si>
    <t>43.18,</t>
  </si>
  <si>
    <t>0.92,</t>
  </si>
  <si>
    <t>0.74,</t>
  </si>
  <si>
    <t>19.9,</t>
  </si>
  <si>
    <t>36.92,</t>
  </si>
  <si>
    <t>32.91,</t>
  </si>
  <si>
    <t>14.66,</t>
  </si>
  <si>
    <t>44.71,</t>
  </si>
  <si>
    <t>7.33,</t>
  </si>
  <si>
    <t>0.39,</t>
  </si>
  <si>
    <t>15.05,</t>
  </si>
  <si>
    <t>40.24,</t>
  </si>
  <si>
    <t>29.45,</t>
  </si>
  <si>
    <t>11.76,</t>
  </si>
  <si>
    <t>51.86,</t>
  </si>
  <si>
    <t>5.92,</t>
  </si>
  <si>
    <t>1,</t>
  </si>
  <si>
    <t>12.77,</t>
  </si>
  <si>
    <t>35.37,</t>
  </si>
  <si>
    <t>31.71,</t>
  </si>
  <si>
    <t>8.94,</t>
  </si>
  <si>
    <t>47.2,</t>
  </si>
  <si>
    <t>9.89,</t>
  </si>
  <si>
    <t>2.25,</t>
  </si>
  <si>
    <t>11.2,</t>
  </si>
  <si>
    <t>41.6,</t>
  </si>
  <si>
    <t>38.12,</t>
  </si>
  <si>
    <t>17.31,</t>
  </si>
  <si>
    <t>41.43,</t>
  </si>
  <si>
    <t>1.43,</t>
  </si>
  <si>
    <t>0.17,</t>
  </si>
  <si>
    <t>1.54,</t>
  </si>
  <si>
    <t>19.02,</t>
  </si>
  <si>
    <t>39.55,</t>
  </si>
  <si>
    <t>34.39,</t>
  </si>
  <si>
    <t>10.55,</t>
  </si>
  <si>
    <t>51.47,</t>
  </si>
  <si>
    <t>1.15,</t>
  </si>
  <si>
    <t>1.2,</t>
  </si>
  <si>
    <t>1.24,</t>
  </si>
  <si>
    <t>12.99,</t>
  </si>
  <si>
    <t>35.54,</t>
  </si>
  <si>
    <t>27.47,</t>
  </si>
  <si>
    <t>10.3,</t>
  </si>
  <si>
    <t>60.86,</t>
  </si>
  <si>
    <t>0.8,</t>
  </si>
  <si>
    <t>0.57,</t>
  </si>
  <si>
    <t>10.87,</t>
  </si>
  <si>
    <t>28.27,</t>
  </si>
  <si>
    <t>28.94,</t>
  </si>
  <si>
    <t>11.04,</t>
  </si>
  <si>
    <t>56.1,</t>
  </si>
  <si>
    <t>3.92,</t>
  </si>
  <si>
    <t>14.96,</t>
  </si>
  <si>
    <t>17.73,</t>
  </si>
  <si>
    <t>11.07,</t>
  </si>
  <si>
    <t>70,</t>
  </si>
  <si>
    <t>0.83,</t>
  </si>
  <si>
    <t>0.36,</t>
  </si>
  <si>
    <t>0.05,</t>
  </si>
  <si>
    <t>11.48,</t>
  </si>
  <si>
    <t>18.56,</t>
  </si>
  <si>
    <t>16.05,</t>
  </si>
  <si>
    <t>9.56,</t>
  </si>
  <si>
    <t>67.55,</t>
  </si>
  <si>
    <t>5.17,</t>
  </si>
  <si>
    <t>0.29,</t>
  </si>
  <si>
    <t>1.38,</t>
  </si>
  <si>
    <t>11.23,</t>
  </si>
  <si>
    <t>21.22,</t>
  </si>
  <si>
    <t>28.85,</t>
  </si>
  <si>
    <t>10.38,</t>
  </si>
  <si>
    <t>55.71,</t>
  </si>
  <si>
    <t>4.2,</t>
  </si>
  <si>
    <t>0.86,</t>
  </si>
  <si>
    <t>11.24,</t>
  </si>
  <si>
    <t>33.05,</t>
  </si>
  <si>
    <t>32.01,</t>
  </si>
  <si>
    <t>19.89,</t>
  </si>
  <si>
    <t>44.36,</t>
  </si>
  <si>
    <t>1.96,</t>
  </si>
  <si>
    <t>21.67,</t>
  </si>
  <si>
    <t>33.97,</t>
  </si>
  <si>
    <t>11.55,</t>
  </si>
  <si>
    <t>17.91,</t>
  </si>
  <si>
    <t>63.26,</t>
  </si>
  <si>
    <t>4.26,</t>
  </si>
  <si>
    <t>1.65,</t>
  </si>
  <si>
    <t>1.37,</t>
  </si>
  <si>
    <t>20.93,</t>
  </si>
  <si>
    <t>15.81,</t>
  </si>
  <si>
    <t>9.85,</t>
  </si>
  <si>
    <t>23.71,</t>
  </si>
  <si>
    <t>65.91,</t>
  </si>
  <si>
    <t>0.48,</t>
  </si>
  <si>
    <t>24.24,</t>
  </si>
  <si>
    <t>5.71,</t>
  </si>
  <si>
    <t>20.73,</t>
  </si>
  <si>
    <t>70.28,</t>
  </si>
  <si>
    <t>2.52,</t>
  </si>
  <si>
    <t>0.72,</t>
  </si>
  <si>
    <t>21.49,</t>
  </si>
  <si>
    <t>8.23,</t>
  </si>
  <si>
    <t>62.29,</t>
  </si>
  <si>
    <t>11.35,</t>
  </si>
  <si>
    <t>25.84,</t>
  </si>
  <si>
    <t>0.52,</t>
  </si>
  <si>
    <t>11.87,</t>
  </si>
  <si>
    <t>47,</t>
  </si>
  <si>
    <t>22.39,</t>
  </si>
  <si>
    <t>29.61,</t>
  </si>
  <si>
    <t>23.39,</t>
  </si>
  <si>
    <t>57.05,</t>
  </si>
  <si>
    <t>12.89,</t>
  </si>
  <si>
    <t>29.66,</t>
  </si>
  <si>
    <t>13.29,</t>
  </si>
  <si>
    <t>47.47,</t>
  </si>
  <si>
    <t>19.91,</t>
  </si>
  <si>
    <t>31.64,</t>
  </si>
  <si>
    <t>0.98,</t>
  </si>
  <si>
    <t>20.89,</t>
  </si>
  <si>
    <t>48.47,</t>
  </si>
  <si>
    <t>12.86,</t>
  </si>
  <si>
    <t>38.44,</t>
  </si>
  <si>
    <t>13.09,</t>
  </si>
  <si>
    <t>75.99,</t>
  </si>
  <si>
    <t>22.32,</t>
  </si>
  <si>
    <t>1.68,</t>
  </si>
  <si>
    <t>1.69,</t>
  </si>
  <si>
    <t>50.9,</t>
  </si>
  <si>
    <t>10.96,</t>
  </si>
  <si>
    <t>37.74,</t>
  </si>
  <si>
    <t>46.97,</t>
  </si>
  <si>
    <t>22.37,</t>
  </si>
  <si>
    <t>30.5,</t>
  </si>
  <si>
    <t>0.02,</t>
  </si>
  <si>
    <t>0.14,</t>
  </si>
  <si>
    <t>22.53,</t>
  </si>
  <si>
    <t>37.71,</t>
  </si>
  <si>
    <t>50.95,</t>
  </si>
  <si>
    <t>0.64,</t>
  </si>
  <si>
    <t>11.34,</t>
  </si>
  <si>
    <t>40.96,</t>
  </si>
  <si>
    <t>36.53,</t>
  </si>
  <si>
    <t>19.81,</t>
  </si>
  <si>
    <t>2.7,</t>
  </si>
  <si>
    <t>39.23,</t>
  </si>
  <si>
    <t>29.98,</t>
  </si>
  <si>
    <t>32.7,</t>
  </si>
  <si>
    <t>35.12,</t>
  </si>
  <si>
    <t>2.2,</t>
  </si>
  <si>
    <t>34.9,</t>
  </si>
  <si>
    <t>38.57,</t>
  </si>
  <si>
    <t>18.17,</t>
  </si>
  <si>
    <t>43.25,</t>
  </si>
  <si>
    <t>18.18,</t>
  </si>
  <si>
    <t>37.91,</t>
  </si>
  <si>
    <t>31.31,</t>
  </si>
  <si>
    <t>23.2,</t>
  </si>
  <si>
    <t>7.58,</t>
  </si>
  <si>
    <t>30.78,</t>
  </si>
  <si>
    <t>20.58,</t>
  </si>
  <si>
    <t>67.29,</t>
  </si>
  <si>
    <t>6.82,</t>
  </si>
  <si>
    <t>3.66,</t>
  </si>
  <si>
    <t>10.48,</t>
  </si>
  <si>
    <t>22.23,</t>
  </si>
  <si>
    <t>21.9,</t>
  </si>
  <si>
    <t>56.83,</t>
  </si>
  <si>
    <t>12.2,</t>
  </si>
  <si>
    <t>3,</t>
  </si>
  <si>
    <t>6.07,</t>
  </si>
  <si>
    <t>9.07,</t>
  </si>
  <si>
    <t>34.1,</t>
  </si>
  <si>
    <t>14.1,</t>
  </si>
  <si>
    <t>61.5,</t>
  </si>
  <si>
    <t>14.7,</t>
  </si>
  <si>
    <t>6.23,</t>
  </si>
  <si>
    <t>3.47,</t>
  </si>
  <si>
    <t>9.7,</t>
  </si>
  <si>
    <t>28.8,</t>
  </si>
  <si>
    <t>3.96,</t>
  </si>
  <si>
    <t>64.55,</t>
  </si>
  <si>
    <t>17.6,</t>
  </si>
  <si>
    <t>7.06,</t>
  </si>
  <si>
    <t>6.83,</t>
  </si>
  <si>
    <t>13.89,</t>
  </si>
  <si>
    <t>21.56,</t>
  </si>
  <si>
    <t>7.12,</t>
  </si>
  <si>
    <t>66.08,</t>
  </si>
  <si>
    <t>10.01,</t>
  </si>
  <si>
    <t>7.78,</t>
  </si>
  <si>
    <t>9.01,</t>
  </si>
  <si>
    <t>16.79,</t>
  </si>
  <si>
    <t>17.13,</t>
  </si>
  <si>
    <t>14.31,</t>
  </si>
  <si>
    <t>70.16,</t>
  </si>
  <si>
    <t>14.15,</t>
  </si>
  <si>
    <t>15.69,</t>
  </si>
  <si>
    <t>16.39,</t>
  </si>
  <si>
    <t>61.23,</t>
  </si>
  <si>
    <t>1.48,</t>
  </si>
  <si>
    <t>11.82,</t>
  </si>
  <si>
    <t>9.08,</t>
  </si>
  <si>
    <t>20.9,</t>
  </si>
  <si>
    <t>17.87,</t>
  </si>
  <si>
    <t>18.11,</t>
  </si>
  <si>
    <t>44.23,</t>
  </si>
  <si>
    <t>15.08,</t>
  </si>
  <si>
    <t>19.79,</t>
  </si>
  <si>
    <t>42.88,</t>
  </si>
  <si>
    <t>23.07,</t>
  </si>
  <si>
    <t>30.95,</t>
  </si>
  <si>
    <t>3.1,</t>
  </si>
  <si>
    <t>34.05,</t>
  </si>
  <si>
    <t>15.41,</t>
  </si>
  <si>
    <t>5.54,</t>
  </si>
  <si>
    <t>17.71,</t>
  </si>
  <si>
    <t>5.63,</t>
  </si>
  <si>
    <t>23.34,</t>
  </si>
  <si>
    <t>20.95,</t>
  </si>
  <si>
    <t>20.7,</t>
  </si>
  <si>
    <t>35.89,</t>
  </si>
  <si>
    <t>25.4,</t>
  </si>
  <si>
    <t>18.21,</t>
  </si>
  <si>
    <t>20.45,</t>
  </si>
  <si>
    <t>24.23,</t>
  </si>
  <si>
    <t>22.42,</t>
  </si>
  <si>
    <t>32.9,</t>
  </si>
  <si>
    <t>23.78,</t>
  </si>
  <si>
    <t>47.95,</t>
  </si>
  <si>
    <t>18.14,</t>
  </si>
  <si>
    <t>10.13,</t>
  </si>
  <si>
    <t>28.1,</t>
  </si>
  <si>
    <t>42.35,</t>
  </si>
  <si>
    <t>7.97,</t>
  </si>
  <si>
    <t>84.48,</t>
  </si>
  <si>
    <t>5.06,</t>
  </si>
  <si>
    <t>3.24,</t>
  </si>
  <si>
    <t>6.17,</t>
  </si>
  <si>
    <t>91.7,</t>
  </si>
  <si>
    <t>5.02,</t>
  </si>
  <si>
    <t>66.3,</t>
  </si>
  <si>
    <t>5,</t>
  </si>
  <si>
    <t>2.61,</t>
  </si>
  <si>
    <t>21.07,</t>
  </si>
  <si>
    <t>89.98,</t>
  </si>
  <si>
    <t>3.06,</t>
  </si>
  <si>
    <t>87.47,</t>
  </si>
  <si>
    <t>0.73,</t>
  </si>
  <si>
    <t>1.17,</t>
  </si>
  <si>
    <t>7.57,</t>
  </si>
  <si>
    <t>96.21,</t>
  </si>
  <si>
    <t>40.08,</t>
  </si>
  <si>
    <t>40.39,</t>
  </si>
  <si>
    <t>0.79,</t>
  </si>
  <si>
    <t>18.74,</t>
  </si>
  <si>
    <t>24.91,</t>
  </si>
  <si>
    <t>65.79,</t>
  </si>
  <si>
    <t>0.27,</t>
  </si>
  <si>
    <t>9.03,</t>
  </si>
  <si>
    <t>34.21,</t>
  </si>
  <si>
    <t>45.68,</t>
  </si>
  <si>
    <t>32.33,</t>
  </si>
  <si>
    <t>5.5,</t>
  </si>
  <si>
    <t>0.61,</t>
  </si>
  <si>
    <t>15.88,</t>
  </si>
  <si>
    <t>62.17,</t>
  </si>
  <si>
    <t>12,</t>
  </si>
  <si>
    <t>26.94,</t>
  </si>
  <si>
    <t>59.81,</t>
  </si>
  <si>
    <t>1.25,</t>
  </si>
  <si>
    <t>28.19,</t>
  </si>
  <si>
    <t>30.52,</t>
  </si>
  <si>
    <t>12.18,</t>
  </si>
  <si>
    <t>43.52,</t>
  </si>
  <si>
    <t>3.42,</t>
  </si>
  <si>
    <t>10.36,</t>
  </si>
  <si>
    <t>25.96,</t>
  </si>
  <si>
    <t>30.66,</t>
  </si>
  <si>
    <t>51.52,</t>
  </si>
  <si>
    <t>9.05,</t>
  </si>
  <si>
    <t>2.72,</t>
  </si>
  <si>
    <t>6.05,</t>
  </si>
  <si>
    <t>39.43,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</si>
</sst>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i/>
      <sz val="11.0"/>
      <color theme="1"/>
      <name val="Aptos Narrow"/>
    </font>
    <font/>
    <font>
      <b/>
      <sz val="9.0"/>
      <color theme="1"/>
      <name val="Aptos Narrow"/>
    </font>
    <font>
      <sz val="20.0"/>
      <color theme="1"/>
      <name val="Times New Roman"/>
    </font>
    <font>
      <sz val="11.0"/>
      <color theme="1"/>
      <name val="Aptos Narrow"/>
    </font>
    <font>
      <b/>
      <sz val="11.0"/>
      <color theme="1"/>
      <name val="Aptos Narrow"/>
    </font>
    <font>
      <u/>
      <sz val="11.0"/>
      <color theme="10"/>
      <name val="Aptos Narrow"/>
    </font>
    <font>
      <b/>
      <sz val="10.0"/>
      <color theme="1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10.0"/>
      <color theme="1"/>
      <name val="Aptos Narrow"/>
    </font>
    <font>
      <u/>
      <sz val="11.0"/>
      <color theme="10"/>
      <name val="Aptos Narrow"/>
    </font>
    <font>
      <sz val="9.0"/>
      <color theme="1"/>
      <name val="Aptos Narrow"/>
    </font>
    <font>
      <u/>
      <sz val="11.0"/>
      <color theme="10"/>
      <name val="Aptos Narrow"/>
    </font>
    <font>
      <color theme="1"/>
      <name val="Aptos Narrow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20.0"/>
      <color theme="1"/>
      <name val="Aptos Narrow"/>
    </font>
    <font>
      <u/>
      <sz val="11.0"/>
      <color theme="10"/>
      <name val="Aptos Narrow"/>
    </font>
    <font>
      <sz val="10.0"/>
      <color theme="1"/>
      <name val="Consolas"/>
    </font>
    <font>
      <b/>
      <sz val="10.0"/>
      <color theme="1"/>
      <name val="Consolas"/>
    </font>
    <font>
      <b/>
      <sz val="20.0"/>
      <color theme="1"/>
      <name val="Aptos Narrow"/>
    </font>
    <font>
      <u/>
      <sz val="11.0"/>
      <color theme="10"/>
      <name val="Aptos Narrow"/>
    </font>
  </fonts>
  <fills count="33">
    <fill>
      <patternFill patternType="none"/>
    </fill>
    <fill>
      <patternFill patternType="lightGray"/>
    </fill>
    <fill>
      <patternFill patternType="solid">
        <fgColor rgb="FF0000CD"/>
        <bgColor rgb="FF0000CD"/>
      </patternFill>
    </fill>
    <fill>
      <patternFill patternType="solid">
        <fgColor rgb="FFE3AF34"/>
        <bgColor rgb="FFE3AF34"/>
      </patternFill>
    </fill>
    <fill>
      <patternFill patternType="solid">
        <fgColor rgb="FF3A6538"/>
        <bgColor rgb="FF3A6538"/>
      </patternFill>
    </fill>
    <fill>
      <patternFill patternType="solid">
        <fgColor rgb="FF179900"/>
        <bgColor rgb="FF179900"/>
      </patternFill>
    </fill>
    <fill>
      <patternFill patternType="solid">
        <fgColor rgb="FFCC0000"/>
        <bgColor rgb="FFCC0000"/>
      </patternFill>
    </fill>
    <fill>
      <patternFill patternType="solid">
        <fgColor rgb="FF841839"/>
        <bgColor rgb="FF841839"/>
      </patternFill>
    </fill>
    <fill>
      <patternFill patternType="solid">
        <fgColor rgb="FFFFD700"/>
        <bgColor rgb="FFFFD700"/>
      </patternFill>
    </fill>
    <fill>
      <patternFill patternType="solid">
        <fgColor rgb="FF63E6F2"/>
        <bgColor rgb="FF63E6F2"/>
      </patternFill>
    </fill>
    <fill>
      <patternFill patternType="solid">
        <fgColor rgb="FFAF0000"/>
        <bgColor rgb="FFAF0000"/>
      </patternFill>
    </fill>
    <fill>
      <patternFill patternType="solid">
        <fgColor rgb="FF43C46C"/>
        <bgColor rgb="FF43C46C"/>
      </patternFill>
    </fill>
    <fill>
      <patternFill patternType="solid">
        <fgColor rgb="FFFF0000"/>
        <bgColor rgb="FFFF0000"/>
      </patternFill>
    </fill>
    <fill>
      <patternFill patternType="solid">
        <fgColor rgb="FF80FF00"/>
        <bgColor rgb="FF80FF00"/>
      </patternFill>
    </fill>
    <fill>
      <patternFill patternType="solid">
        <fgColor rgb="FFE6E6E6"/>
        <bgColor rgb="FFE6E6E6"/>
      </patternFill>
    </fill>
    <fill>
      <patternFill patternType="solid">
        <fgColor rgb="FFFFF86D"/>
        <bgColor rgb="FFFFF86D"/>
      </patternFill>
    </fill>
    <fill>
      <patternFill patternType="solid">
        <fgColor rgb="FF0070C0"/>
        <bgColor rgb="FF0070C0"/>
      </patternFill>
    </fill>
    <fill>
      <patternFill patternType="solid">
        <fgColor rgb="FFAAAAF2"/>
        <bgColor rgb="FFAAAAF2"/>
      </patternFill>
    </fill>
    <fill>
      <patternFill patternType="solid">
        <fgColor rgb="FFECECEC"/>
        <bgColor rgb="FFECECEC"/>
      </patternFill>
    </fill>
    <fill>
      <patternFill patternType="solid">
        <fgColor rgb="FFF0DAA8"/>
        <bgColor rgb="FFF0DAA8"/>
      </patternFill>
    </fill>
    <fill>
      <patternFill patternType="solid">
        <fgColor rgb="FF8EBF86"/>
        <bgColor rgb="FF8EBF86"/>
      </patternFill>
    </fill>
    <fill>
      <patternFill patternType="solid">
        <fgColor rgb="FFE6A1A1"/>
        <bgColor rgb="FFE6A1A1"/>
      </patternFill>
    </fill>
    <fill>
      <patternFill patternType="solid">
        <fgColor rgb="FF87A685"/>
        <bgColor rgb="FF87A685"/>
      </patternFill>
    </fill>
    <fill>
      <patternFill patternType="solid">
        <fgColor rgb="FF98D9AC"/>
        <bgColor rgb="FF98D9AC"/>
      </patternFill>
    </fill>
    <fill>
      <patternFill patternType="solid">
        <fgColor rgb="FFAAECF2"/>
        <bgColor rgb="FFAAECF2"/>
      </patternFill>
    </fill>
    <fill>
      <patternFill patternType="solid">
        <fgColor rgb="FFFFF9B3"/>
        <bgColor rgb="FFFFF9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B769F"/>
        <bgColor rgb="FF0B769F"/>
      </patternFill>
    </fill>
    <fill>
      <patternFill patternType="solid">
        <fgColor rgb="FF00B0F0"/>
        <bgColor rgb="FF00B0F0"/>
      </patternFill>
    </fill>
    <fill>
      <patternFill patternType="solid">
        <fgColor rgb="FFAEAEAE"/>
        <bgColor rgb="FFAEAEAE"/>
      </patternFill>
    </fill>
    <fill>
      <patternFill patternType="solid">
        <fgColor rgb="FF215E99"/>
        <bgColor rgb="FF215E99"/>
      </patternFill>
    </fill>
    <fill>
      <patternFill patternType="solid">
        <fgColor rgb="FF8ED873"/>
        <bgColor rgb="FF8ED873"/>
      </patternFill>
    </fill>
  </fills>
  <borders count="7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4" fillId="10" fontId="3" numFmtId="0" xfId="0" applyAlignment="1" applyBorder="1" applyFill="1" applyFont="1">
      <alignment horizontal="center" shrinkToFit="0" vertical="center" wrapText="1"/>
    </xf>
    <xf borderId="4" fillId="11" fontId="3" numFmtId="0" xfId="0" applyAlignment="1" applyBorder="1" applyFill="1" applyFont="1">
      <alignment horizontal="center" shrinkToFit="0" vertical="center" wrapText="1"/>
    </xf>
    <xf borderId="4" fillId="12" fontId="3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shrinkToFit="0" vertical="center" wrapText="1"/>
    </xf>
    <xf borderId="4" fillId="14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textRotation="255" vertical="center" wrapText="1"/>
    </xf>
    <xf borderId="6" fillId="2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12" fontId="5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8" fontId="3" numFmtId="0" xfId="0" applyAlignment="1" applyBorder="1" applyFont="1">
      <alignment horizontal="center" shrinkToFit="0" vertical="center" wrapText="1"/>
    </xf>
    <xf borderId="7" fillId="9" fontId="3" numFmtId="0" xfId="0" applyAlignment="1" applyBorder="1" applyFont="1">
      <alignment horizontal="center" shrinkToFit="0" vertical="center" wrapText="1"/>
    </xf>
    <xf borderId="11" fillId="9" fontId="3" numFmtId="0" xfId="0" applyAlignment="1" applyBorder="1" applyFont="1">
      <alignment horizontal="center" shrinkToFit="0" vertical="center" wrapText="1"/>
    </xf>
    <xf borderId="12" fillId="14" fontId="3" numFmtId="0" xfId="0" applyAlignment="1" applyBorder="1" applyFont="1">
      <alignment horizontal="center" shrinkToFit="0" vertical="center" wrapText="1"/>
    </xf>
    <xf borderId="6" fillId="12" fontId="3" numFmtId="0" xfId="0" applyAlignment="1" applyBorder="1" applyFont="1">
      <alignment horizontal="center" shrinkToFit="0" vertical="center" wrapText="1"/>
    </xf>
    <xf borderId="11" fillId="12" fontId="3" numFmtId="0" xfId="0" applyAlignment="1" applyBorder="1" applyFont="1">
      <alignment horizontal="center" shrinkToFit="0" vertical="center" wrapText="1"/>
    </xf>
    <xf borderId="12" fillId="12" fontId="3" numFmtId="0" xfId="0" applyAlignment="1" applyBorder="1" applyFont="1">
      <alignment horizontal="center" shrinkToFit="0" vertical="center" wrapText="1"/>
    </xf>
    <xf borderId="7" fillId="12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textRotation="255" vertical="center" wrapText="1"/>
    </xf>
    <xf borderId="13" fillId="2" fontId="3" numFmtId="0" xfId="0" applyAlignment="1" applyBorder="1" applyFont="1">
      <alignment horizontal="center" shrinkToFit="0" vertical="center" wrapText="1"/>
    </xf>
    <xf borderId="14" fillId="3" fontId="3" numFmtId="0" xfId="0" applyAlignment="1" applyBorder="1" applyFont="1">
      <alignment horizontal="center" shrinkToFit="0" vertical="center" wrapText="1"/>
    </xf>
    <xf borderId="13" fillId="12" fontId="5" numFmtId="0" xfId="0" applyAlignment="1" applyBorder="1" applyFont="1">
      <alignment horizontal="center" vertical="center"/>
    </xf>
    <xf borderId="14" fillId="8" fontId="3" numFmtId="0" xfId="0" applyAlignment="1" applyBorder="1" applyFont="1">
      <alignment horizontal="center" shrinkToFit="0" vertical="center" wrapText="1"/>
    </xf>
    <xf borderId="13" fillId="9" fontId="3" numFmtId="0" xfId="0" applyAlignment="1" applyBorder="1" applyFont="1">
      <alignment horizontal="center" shrinkToFit="0" vertical="center" wrapText="1"/>
    </xf>
    <xf borderId="14" fillId="9" fontId="3" numFmtId="0" xfId="0" applyAlignment="1" applyBorder="1" applyFont="1">
      <alignment horizontal="center" shrinkToFit="0" vertical="center" wrapText="1"/>
    </xf>
    <xf borderId="13" fillId="14" fontId="3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5" fillId="2" fontId="3" numFmtId="0" xfId="0" applyAlignment="1" applyBorder="1" applyFont="1">
      <alignment horizontal="center" shrinkToFit="0" vertical="center" wrapText="1"/>
    </xf>
    <xf borderId="14" fillId="15" fontId="3" numFmtId="0" xfId="0" applyAlignment="1" applyBorder="1" applyFill="1" applyFont="1">
      <alignment horizontal="center" shrinkToFit="0" vertical="center" wrapText="1"/>
    </xf>
    <xf borderId="13" fillId="8" fontId="3" numFmtId="0" xfId="0" applyAlignment="1" applyBorder="1" applyFont="1">
      <alignment horizontal="center" shrinkToFit="0" vertical="center" wrapText="1"/>
    </xf>
    <xf borderId="15" fillId="16" fontId="5" numFmtId="0" xfId="0" applyAlignment="1" applyBorder="1" applyFill="1" applyFont="1">
      <alignment horizontal="center" vertical="center"/>
    </xf>
    <xf borderId="16" fillId="15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7" fillId="0" fontId="5" numFmtId="0" xfId="0" applyBorder="1" applyFont="1"/>
    <xf borderId="18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9" fillId="0" fontId="2" numFmtId="0" xfId="0" applyBorder="1" applyFont="1"/>
    <xf borderId="17" fillId="0" fontId="9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23" fillId="0" fontId="14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9" fillId="0" fontId="5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horizontal="left" shrinkToFit="0" vertical="center" wrapText="1"/>
    </xf>
    <xf borderId="4" fillId="17" fontId="3" numFmtId="0" xfId="0" applyAlignment="1" applyBorder="1" applyFill="1" applyFont="1">
      <alignment shrinkToFit="0" vertical="center" wrapText="1"/>
    </xf>
    <xf borderId="4" fillId="18" fontId="17" numFmtId="0" xfId="0" applyAlignment="1" applyBorder="1" applyFill="1" applyFont="1">
      <alignment shrinkToFit="0" vertical="center" wrapText="1"/>
    </xf>
    <xf borderId="24" fillId="17" fontId="3" numFmtId="0" xfId="0" applyAlignment="1" applyBorder="1" applyFont="1">
      <alignment horizontal="center" shrinkToFit="0" vertical="center" wrapText="1"/>
    </xf>
    <xf borderId="19" fillId="0" fontId="17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/>
    </xf>
    <xf borderId="0" fillId="0" fontId="17" numFmtId="0" xfId="0" applyAlignment="1" applyFont="1">
      <alignment horizontal="center" shrinkToFit="0" vertical="center" wrapText="1"/>
    </xf>
    <xf borderId="25" fillId="18" fontId="17" numFmtId="0" xfId="0" applyAlignment="1" applyBorder="1" applyFont="1">
      <alignment horizontal="center" shrinkToFit="0" vertical="center" wrapText="1"/>
    </xf>
    <xf borderId="4" fillId="18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0" fillId="0" fontId="19" numFmtId="0" xfId="0" applyFont="1"/>
    <xf borderId="0" fillId="0" fontId="1" numFmtId="0" xfId="0" applyAlignment="1" applyFont="1">
      <alignment horizontal="center"/>
    </xf>
    <xf borderId="19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17" fillId="0" fontId="20" numFmtId="0" xfId="0" applyAlignment="1" applyBorder="1" applyFont="1">
      <alignment horizontal="center" vertical="center"/>
    </xf>
    <xf borderId="4" fillId="19" fontId="3" numFmtId="0" xfId="0" applyAlignment="1" applyBorder="1" applyFill="1" applyFont="1">
      <alignment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25" fillId="19" fontId="3" numFmtId="0" xfId="0" applyAlignment="1" applyBorder="1" applyFont="1">
      <alignment horizontal="center" shrinkToFit="0" vertical="center" wrapText="1"/>
    </xf>
    <xf borderId="17" fillId="0" fontId="21" numFmtId="0" xfId="0" applyAlignment="1" applyBorder="1" applyFont="1">
      <alignment horizontal="center" readingOrder="0" shrinkToFit="0" vertical="center" wrapText="1"/>
    </xf>
    <xf borderId="4" fillId="20" fontId="3" numFmtId="0" xfId="0" applyAlignment="1" applyBorder="1" applyFill="1" applyFont="1">
      <alignment shrinkToFit="0" vertical="center" wrapText="1"/>
    </xf>
    <xf borderId="17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8" fillId="0" fontId="5" numFmtId="0" xfId="0" applyAlignment="1" applyBorder="1" applyFont="1">
      <alignment shrinkToFit="0" wrapText="1"/>
    </xf>
    <xf borderId="4" fillId="21" fontId="3" numFmtId="0" xfId="0" applyAlignment="1" applyBorder="1" applyFill="1" applyFont="1">
      <alignment shrinkToFit="0" vertical="center" wrapText="1"/>
    </xf>
    <xf borderId="4" fillId="22" fontId="3" numFmtId="0" xfId="0" applyAlignment="1" applyBorder="1" applyFill="1" applyFont="1">
      <alignment shrinkToFit="0" vertical="center" wrapText="1"/>
    </xf>
    <xf borderId="17" fillId="0" fontId="5" numFmtId="1" xfId="0" applyAlignment="1" applyBorder="1" applyFont="1" applyNumberFormat="1">
      <alignment horizontal="center"/>
    </xf>
    <xf borderId="0" fillId="0" fontId="5" numFmtId="1" xfId="0" applyFont="1" applyNumberFormat="1"/>
    <xf borderId="4" fillId="23" fontId="3" numFmtId="0" xfId="0" applyAlignment="1" applyBorder="1" applyFill="1" applyFont="1">
      <alignment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4" fontId="3" numFmtId="0" xfId="0" applyAlignment="1" applyBorder="1" applyFill="1" applyFont="1">
      <alignment shrinkToFit="0" vertical="center" wrapText="1"/>
    </xf>
    <xf borderId="25" fillId="24" fontId="3" numFmtId="0" xfId="0" applyAlignment="1" applyBorder="1" applyFont="1">
      <alignment horizontal="center" shrinkToFit="0" vertical="center" wrapText="1"/>
    </xf>
    <xf borderId="4" fillId="25" fontId="3" numFmtId="0" xfId="0" applyAlignment="1" applyBorder="1" applyFill="1" applyFont="1">
      <alignment shrinkToFit="0" vertical="center" wrapText="1"/>
    </xf>
    <xf borderId="26" fillId="25" fontId="3" numFmtId="0" xfId="0" applyAlignment="1" applyBorder="1" applyFont="1">
      <alignment horizontal="center" shrinkToFit="0" vertical="center" wrapText="1"/>
    </xf>
    <xf borderId="24" fillId="18" fontId="17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7" fillId="18" fontId="17" numFmtId="0" xfId="0" applyAlignment="1" applyBorder="1" applyFont="1">
      <alignment horizontal="center" shrinkToFit="0" vertical="center" wrapText="1"/>
    </xf>
    <xf borderId="23" fillId="0" fontId="17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/>
    </xf>
    <xf borderId="21" fillId="0" fontId="2" numFmtId="0" xfId="0" applyBorder="1" applyFont="1"/>
    <xf borderId="22" fillId="0" fontId="2" numFmtId="0" xfId="0" applyBorder="1" applyFont="1"/>
    <xf borderId="21" fillId="0" fontId="17" numFmtId="0" xfId="0" applyAlignment="1" applyBorder="1" applyFont="1">
      <alignment horizontal="center" shrinkToFit="0" vertical="center" wrapText="1"/>
    </xf>
    <xf borderId="28" fillId="18" fontId="17" numFmtId="0" xfId="0" applyAlignment="1" applyBorder="1" applyFont="1">
      <alignment horizontal="center" shrinkToFit="0" vertical="center" wrapText="1"/>
    </xf>
    <xf borderId="29" fillId="18" fontId="17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3" fillId="0" fontId="20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20" fillId="0" fontId="20" numFmtId="0" xfId="0" applyAlignment="1" applyBorder="1" applyFont="1">
      <alignment horizontal="center" vertical="center"/>
    </xf>
    <xf borderId="22" fillId="0" fontId="20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13" fillId="2" fontId="22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13" fillId="12" fontId="6" numFmtId="0" xfId="0" applyAlignment="1" applyBorder="1" applyFont="1">
      <alignment horizontal="center" vertical="center"/>
    </xf>
    <xf borderId="14" fillId="8" fontId="6" numFmtId="0" xfId="0" applyAlignment="1" applyBorder="1" applyFont="1">
      <alignment horizontal="center" vertical="center"/>
    </xf>
    <xf borderId="13" fillId="9" fontId="6" numFmtId="0" xfId="0" applyAlignment="1" applyBorder="1" applyFont="1">
      <alignment horizontal="center" vertical="center"/>
    </xf>
    <xf borderId="14" fillId="9" fontId="6" numFmtId="0" xfId="0" applyAlignment="1" applyBorder="1" applyFont="1">
      <alignment horizontal="center" vertical="center"/>
    </xf>
    <xf borderId="16" fillId="14" fontId="6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vertical="center"/>
    </xf>
    <xf borderId="14" fillId="15" fontId="6" numFmtId="0" xfId="0" applyAlignment="1" applyBorder="1" applyFont="1">
      <alignment horizontal="center" vertical="center"/>
    </xf>
    <xf borderId="13" fillId="8" fontId="6" numFmtId="0" xfId="0" applyAlignment="1" applyBorder="1" applyFont="1">
      <alignment horizontal="center" vertical="center"/>
    </xf>
    <xf borderId="14" fillId="16" fontId="6" numFmtId="0" xfId="0" applyAlignment="1" applyBorder="1" applyFont="1">
      <alignment horizontal="center" vertical="center"/>
    </xf>
    <xf borderId="16" fillId="15" fontId="6" numFmtId="0" xfId="0" applyAlignment="1" applyBorder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  <xf borderId="4" fillId="3" fontId="17" numFmtId="0" xfId="0" applyAlignment="1" applyBorder="1" applyFont="1">
      <alignment shrinkToFit="0" vertical="center" wrapText="1"/>
    </xf>
    <xf borderId="4" fillId="12" fontId="17" numFmtId="0" xfId="0" applyAlignment="1" applyBorder="1" applyFont="1">
      <alignment shrinkToFit="0" vertical="center" wrapText="1"/>
    </xf>
    <xf borderId="4" fillId="26" fontId="17" numFmtId="0" xfId="0" applyAlignment="1" applyBorder="1" applyFill="1" applyFont="1">
      <alignment shrinkToFit="0" vertical="center" wrapText="1"/>
    </xf>
    <xf borderId="4" fillId="9" fontId="17" numFmtId="0" xfId="0" applyAlignment="1" applyBorder="1" applyFont="1">
      <alignment shrinkToFit="0" vertical="center" wrapText="1"/>
    </xf>
    <xf borderId="31" fillId="15" fontId="3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7" fillId="8" fontId="3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13" fillId="0" fontId="20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35" fillId="2" fontId="2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5" fillId="0" fontId="5" numFmtId="9" xfId="0" applyAlignment="1" applyBorder="1" applyFont="1" applyNumberFormat="1">
      <alignment horizontal="center" vertical="center"/>
    </xf>
    <xf borderId="5" fillId="16" fontId="5" numFmtId="0" xfId="0" applyAlignment="1" applyBorder="1" applyFont="1">
      <alignment horizontal="center" vertical="center"/>
    </xf>
    <xf borderId="36" fillId="0" fontId="2" numFmtId="0" xfId="0" applyBorder="1" applyFont="1"/>
    <xf borderId="30" fillId="2" fontId="3" numFmtId="0" xfId="0" applyAlignment="1" applyBorder="1" applyFont="1">
      <alignment horizontal="center" shrinkToFit="0" vertical="center" wrapText="1"/>
    </xf>
    <xf borderId="30" fillId="3" fontId="3" numFmtId="0" xfId="0" applyAlignment="1" applyBorder="1" applyFont="1">
      <alignment horizontal="center" shrinkToFit="0" vertical="center" wrapText="1"/>
    </xf>
    <xf borderId="30" fillId="4" fontId="3" numFmtId="0" xfId="0" applyAlignment="1" applyBorder="1" applyFont="1">
      <alignment horizontal="center" shrinkToFit="0" vertical="center" wrapText="1"/>
    </xf>
    <xf borderId="30" fillId="5" fontId="3" numFmtId="0" xfId="0" applyAlignment="1" applyBorder="1" applyFont="1">
      <alignment horizontal="center" shrinkToFit="0" vertical="center" wrapText="1"/>
    </xf>
    <xf borderId="30" fillId="6" fontId="3" numFmtId="0" xfId="0" applyAlignment="1" applyBorder="1" applyFont="1">
      <alignment horizontal="center" shrinkToFit="0" vertical="center" wrapText="1"/>
    </xf>
    <xf borderId="30" fillId="7" fontId="3" numFmtId="0" xfId="0" applyAlignment="1" applyBorder="1" applyFont="1">
      <alignment horizontal="center" shrinkToFit="0" vertical="center" wrapText="1"/>
    </xf>
    <xf borderId="30" fillId="8" fontId="3" numFmtId="0" xfId="0" applyAlignment="1" applyBorder="1" applyFont="1">
      <alignment horizontal="center" shrinkToFit="0" vertical="center" wrapText="1"/>
    </xf>
    <xf borderId="30" fillId="9" fontId="3" numFmtId="0" xfId="0" applyAlignment="1" applyBorder="1" applyFont="1">
      <alignment horizontal="center" shrinkToFit="0" vertical="center" wrapText="1"/>
    </xf>
    <xf borderId="30" fillId="10" fontId="3" numFmtId="0" xfId="0" applyAlignment="1" applyBorder="1" applyFont="1">
      <alignment horizontal="center" shrinkToFit="0" vertical="center" wrapText="1"/>
    </xf>
    <xf borderId="30" fillId="11" fontId="3" numFmtId="0" xfId="0" applyAlignment="1" applyBorder="1" applyFont="1">
      <alignment horizontal="center" shrinkToFit="0" vertical="center" wrapText="1"/>
    </xf>
    <xf borderId="30" fillId="12" fontId="3" numFmtId="0" xfId="0" applyAlignment="1" applyBorder="1" applyFont="1">
      <alignment horizontal="center" shrinkToFit="0" vertical="center" wrapText="1"/>
    </xf>
    <xf borderId="30" fillId="13" fontId="3" numFmtId="0" xfId="0" applyAlignment="1" applyBorder="1" applyFont="1">
      <alignment horizontal="center" shrinkToFit="0" vertical="center" wrapText="1"/>
    </xf>
    <xf borderId="30" fillId="14" fontId="3" numFmtId="0" xfId="0" applyAlignment="1" applyBorder="1" applyFont="1">
      <alignment horizontal="center" shrinkToFit="0" vertical="center" wrapText="1"/>
    </xf>
    <xf borderId="5" fillId="3" fontId="24" numFmtId="0" xfId="0" applyAlignment="1" applyBorder="1" applyFont="1">
      <alignment horizontal="center" shrinkToFit="0" vertical="center" wrapText="1"/>
    </xf>
    <xf borderId="35" fillId="12" fontId="5" numFmtId="0" xfId="0" applyAlignment="1" applyBorder="1" applyFont="1">
      <alignment horizontal="center" shrinkToFit="0" vertical="center" wrapText="1"/>
    </xf>
    <xf borderId="30" fillId="0" fontId="25" numFmtId="0" xfId="0" applyAlignment="1" applyBorder="1" applyFont="1">
      <alignment horizontal="center" shrinkToFit="0" vertical="center" wrapText="1"/>
    </xf>
    <xf borderId="30" fillId="0" fontId="8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vertical="center"/>
    </xf>
    <xf borderId="38" fillId="0" fontId="6" numFmtId="0" xfId="0" applyAlignment="1" applyBorder="1" applyFont="1">
      <alignment horizontal="center" vertical="center"/>
    </xf>
    <xf borderId="39" fillId="0" fontId="6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center" vertical="center"/>
    </xf>
    <xf borderId="13" fillId="0" fontId="26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7" fillId="27" fontId="17" numFmtId="0" xfId="0" applyAlignment="1" applyBorder="1" applyFill="1" applyFont="1">
      <alignment horizontal="center" shrinkToFit="0" vertical="center" wrapText="1"/>
    </xf>
    <xf borderId="7" fillId="2" fontId="17" numFmtId="0" xfId="0" applyAlignment="1" applyBorder="1" applyFont="1">
      <alignment horizontal="center" shrinkToFit="0" vertical="center" wrapText="1"/>
    </xf>
    <xf borderId="7" fillId="3" fontId="17" numFmtId="0" xfId="0" applyAlignment="1" applyBorder="1" applyFont="1">
      <alignment horizontal="center" shrinkToFit="0" vertical="center" wrapText="1"/>
    </xf>
    <xf borderId="7" fillId="4" fontId="17" numFmtId="0" xfId="0" applyAlignment="1" applyBorder="1" applyFont="1">
      <alignment horizontal="center" shrinkToFit="0" vertical="center" wrapText="1"/>
    </xf>
    <xf borderId="7" fillId="5" fontId="17" numFmtId="0" xfId="0" applyAlignment="1" applyBorder="1" applyFont="1">
      <alignment horizontal="center" shrinkToFit="0" vertical="center" wrapText="1"/>
    </xf>
    <xf borderId="7" fillId="6" fontId="17" numFmtId="0" xfId="0" applyAlignment="1" applyBorder="1" applyFont="1">
      <alignment horizontal="center" shrinkToFit="0" vertical="center" wrapText="1"/>
    </xf>
    <xf borderId="7" fillId="7" fontId="17" numFmtId="0" xfId="0" applyAlignment="1" applyBorder="1" applyFont="1">
      <alignment horizontal="center" shrinkToFit="0" vertical="center" wrapText="1"/>
    </xf>
    <xf borderId="7" fillId="8" fontId="17" numFmtId="0" xfId="0" applyAlignment="1" applyBorder="1" applyFont="1">
      <alignment horizontal="center" shrinkToFit="0" vertical="center" wrapText="1"/>
    </xf>
    <xf borderId="7" fillId="9" fontId="17" numFmtId="0" xfId="0" applyAlignment="1" applyBorder="1" applyFont="1">
      <alignment horizontal="center" shrinkToFit="0" vertical="center" wrapText="1"/>
    </xf>
    <xf borderId="7" fillId="10" fontId="17" numFmtId="0" xfId="0" applyAlignment="1" applyBorder="1" applyFont="1">
      <alignment horizontal="center" shrinkToFit="0" vertical="center" wrapText="1"/>
    </xf>
    <xf borderId="7" fillId="11" fontId="17" numFmtId="0" xfId="0" applyAlignment="1" applyBorder="1" applyFont="1">
      <alignment horizontal="center" shrinkToFit="0" vertical="center" wrapText="1"/>
    </xf>
    <xf borderId="7" fillId="12" fontId="17" numFmtId="0" xfId="0" applyAlignment="1" applyBorder="1" applyFont="1">
      <alignment horizontal="center" shrinkToFit="0" vertical="center" wrapText="1"/>
    </xf>
    <xf borderId="7" fillId="13" fontId="17" numFmtId="0" xfId="0" applyAlignment="1" applyBorder="1" applyFont="1">
      <alignment horizontal="center" shrinkToFit="0" vertical="center" wrapText="1"/>
    </xf>
    <xf borderId="7" fillId="14" fontId="17" numFmtId="0" xfId="0" applyAlignment="1" applyBorder="1" applyFont="1">
      <alignment horizontal="center" shrinkToFit="0" vertical="center" wrapText="1"/>
    </xf>
    <xf borderId="25" fillId="27" fontId="17" numFmtId="0" xfId="0" applyAlignment="1" applyBorder="1" applyFont="1">
      <alignment horizontal="center" shrinkToFit="0" vertical="center" wrapText="1"/>
    </xf>
    <xf borderId="25" fillId="2" fontId="17" numFmtId="0" xfId="0" applyAlignment="1" applyBorder="1" applyFont="1">
      <alignment horizontal="center" shrinkToFit="0" vertical="center" wrapText="1"/>
    </xf>
    <xf borderId="25" fillId="3" fontId="17" numFmtId="0" xfId="0" applyAlignment="1" applyBorder="1" applyFont="1">
      <alignment horizontal="center" shrinkToFit="0" vertical="center" wrapText="1"/>
    </xf>
    <xf borderId="25" fillId="4" fontId="17" numFmtId="0" xfId="0" applyAlignment="1" applyBorder="1" applyFont="1">
      <alignment horizontal="center" shrinkToFit="0" vertical="center" wrapText="1"/>
    </xf>
    <xf borderId="25" fillId="5" fontId="17" numFmtId="0" xfId="0" applyAlignment="1" applyBorder="1" applyFont="1">
      <alignment horizontal="center" shrinkToFit="0" vertical="center" wrapText="1"/>
    </xf>
    <xf borderId="25" fillId="6" fontId="17" numFmtId="0" xfId="0" applyAlignment="1" applyBorder="1" applyFont="1">
      <alignment horizontal="center" shrinkToFit="0" vertical="center" wrapText="1"/>
    </xf>
    <xf borderId="25" fillId="7" fontId="17" numFmtId="0" xfId="0" applyAlignment="1" applyBorder="1" applyFont="1">
      <alignment horizontal="center" shrinkToFit="0" vertical="center" wrapText="1"/>
    </xf>
    <xf borderId="25" fillId="8" fontId="17" numFmtId="0" xfId="0" applyAlignment="1" applyBorder="1" applyFont="1">
      <alignment horizontal="center" shrinkToFit="0" vertical="center" wrapText="1"/>
    </xf>
    <xf borderId="25" fillId="9" fontId="17" numFmtId="0" xfId="0" applyAlignment="1" applyBorder="1" applyFont="1">
      <alignment horizontal="center" shrinkToFit="0" vertical="center" wrapText="1"/>
    </xf>
    <xf borderId="25" fillId="10" fontId="17" numFmtId="0" xfId="0" applyAlignment="1" applyBorder="1" applyFont="1">
      <alignment horizontal="center" shrinkToFit="0" vertical="center" wrapText="1"/>
    </xf>
    <xf borderId="25" fillId="11" fontId="17" numFmtId="0" xfId="0" applyAlignment="1" applyBorder="1" applyFont="1">
      <alignment horizontal="center" shrinkToFit="0" vertical="center" wrapText="1"/>
    </xf>
    <xf borderId="25" fillId="12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5" fillId="14" fontId="17" numFmtId="0" xfId="0" applyAlignment="1" applyBorder="1" applyFont="1">
      <alignment horizontal="center" shrinkToFit="0" vertical="center" wrapText="1"/>
    </xf>
    <xf borderId="13" fillId="8" fontId="8" numFmtId="0" xfId="0" applyAlignment="1" applyBorder="1" applyFont="1">
      <alignment horizontal="center" shrinkToFit="0" vertical="center" wrapText="1"/>
    </xf>
    <xf borderId="13" fillId="0" fontId="5" numFmtId="9" xfId="0" applyAlignment="1" applyBorder="1" applyFont="1" applyNumberFormat="1">
      <alignment horizontal="center" vertical="center"/>
    </xf>
    <xf borderId="25" fillId="9" fontId="8" numFmtId="0" xfId="0" applyAlignment="1" applyBorder="1" applyFont="1">
      <alignment horizontal="center" shrinkToFit="0" vertical="center" wrapText="1"/>
    </xf>
    <xf borderId="13" fillId="9" fontId="8" numFmtId="0" xfId="0" applyAlignment="1" applyBorder="1" applyFont="1">
      <alignment horizontal="center" shrinkToFit="0" vertical="center" wrapText="1"/>
    </xf>
    <xf borderId="25" fillId="9" fontId="27" numFmtId="0" xfId="0" applyAlignment="1" applyBorder="1" applyFont="1">
      <alignment horizontal="center" shrinkToFit="0" vertical="center" wrapText="1"/>
    </xf>
    <xf borderId="13" fillId="14" fontId="8" numFmtId="0" xfId="0" applyAlignment="1" applyBorder="1" applyFont="1">
      <alignment horizontal="center" shrinkToFit="0" vertical="center" wrapText="1"/>
    </xf>
    <xf borderId="15" fillId="17" fontId="3" numFmtId="0" xfId="0" applyAlignment="1" applyBorder="1" applyFont="1">
      <alignment shrinkToFit="0" vertical="center" wrapText="1"/>
    </xf>
    <xf borderId="14" fillId="3" fontId="17" numFmtId="0" xfId="0" applyAlignment="1" applyBorder="1" applyFont="1">
      <alignment shrinkToFit="0" vertical="center" wrapText="1"/>
    </xf>
    <xf borderId="14" fillId="12" fontId="17" numFmtId="0" xfId="0" applyAlignment="1" applyBorder="1" applyFont="1">
      <alignment shrinkToFit="0" vertical="center" wrapText="1"/>
    </xf>
    <xf borderId="14" fillId="26" fontId="17" numFmtId="0" xfId="0" applyAlignment="1" applyBorder="1" applyFont="1">
      <alignment shrinkToFit="0" vertical="center" wrapText="1"/>
    </xf>
    <xf borderId="14" fillId="9" fontId="17" numFmtId="0" xfId="0" applyAlignment="1" applyBorder="1" applyFont="1">
      <alignment shrinkToFit="0" vertical="center" wrapText="1"/>
    </xf>
    <xf borderId="16" fillId="18" fontId="17" numFmtId="0" xfId="0" applyAlignment="1" applyBorder="1" applyFont="1">
      <alignment shrinkToFit="0" vertical="center" wrapText="1"/>
    </xf>
    <xf borderId="13" fillId="0" fontId="5" numFmtId="0" xfId="0" applyBorder="1" applyFont="1"/>
    <xf borderId="5" fillId="0" fontId="5" numFmtId="0" xfId="0" applyBorder="1" applyFont="1"/>
    <xf borderId="1" fillId="0" fontId="5" numFmtId="0" xfId="0" applyBorder="1" applyFont="1"/>
    <xf borderId="2" fillId="0" fontId="5" numFmtId="0" xfId="0" applyBorder="1" applyFont="1"/>
    <xf borderId="3" fillId="0" fontId="5" numFmtId="0" xfId="0" applyBorder="1" applyFont="1"/>
    <xf borderId="30" fillId="0" fontId="1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center" shrinkToFit="0" vertical="center" wrapText="1"/>
    </xf>
    <xf borderId="40" fillId="0" fontId="6" numFmtId="0" xfId="0" applyAlignment="1" applyBorder="1" applyFont="1">
      <alignment horizontal="center" shrinkToFit="0" vertical="center" wrapText="1"/>
    </xf>
    <xf borderId="41" fillId="0" fontId="2" numFmtId="0" xfId="0" applyBorder="1" applyFont="1"/>
    <xf borderId="42" fillId="0" fontId="6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4" fillId="0" fontId="2" numFmtId="0" xfId="0" applyBorder="1" applyFont="1"/>
    <xf borderId="42" fillId="0" fontId="2" numFmtId="0" xfId="0" applyBorder="1" applyFont="1"/>
    <xf borderId="45" fillId="0" fontId="6" numFmtId="0" xfId="0" applyAlignment="1" applyBorder="1" applyFont="1">
      <alignment horizontal="center" shrinkToFit="0" vertical="center" wrapText="1"/>
    </xf>
    <xf borderId="46" fillId="0" fontId="6" numFmtId="0" xfId="0" applyAlignment="1" applyBorder="1" applyFont="1">
      <alignment horizontal="center" shrinkToFit="0" vertical="center" wrapText="1"/>
    </xf>
    <xf borderId="45" fillId="12" fontId="5" numFmtId="0" xfId="0" applyAlignment="1" applyBorder="1" applyFont="1">
      <alignment horizontal="center" vertical="center"/>
    </xf>
    <xf borderId="45" fillId="0" fontId="6" numFmtId="0" xfId="0" applyAlignment="1" applyBorder="1" applyFont="1">
      <alignment horizontal="center" vertical="center"/>
    </xf>
    <xf borderId="45" fillId="0" fontId="5" numFmtId="3" xfId="0" applyAlignment="1" applyBorder="1" applyFont="1" applyNumberFormat="1">
      <alignment horizontal="center" vertical="center"/>
    </xf>
    <xf borderId="45" fillId="0" fontId="6" numFmtId="2" xfId="0" applyAlignment="1" applyBorder="1" applyFont="1" applyNumberFormat="1">
      <alignment horizontal="center" vertical="center"/>
    </xf>
    <xf borderId="45" fillId="0" fontId="5" numFmtId="9" xfId="0" applyAlignment="1" applyBorder="1" applyFont="1" applyNumberFormat="1">
      <alignment horizontal="center" vertical="center"/>
    </xf>
    <xf borderId="47" fillId="12" fontId="5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shrinkToFit="0" vertical="center" wrapText="1"/>
    </xf>
    <xf borderId="47" fillId="0" fontId="5" numFmtId="3" xfId="0" applyAlignment="1" applyBorder="1" applyFont="1" applyNumberFormat="1">
      <alignment horizontal="center" vertical="center"/>
    </xf>
    <xf borderId="47" fillId="0" fontId="6" numFmtId="0" xfId="0" applyAlignment="1" applyBorder="1" applyFont="1">
      <alignment horizontal="center" vertical="center"/>
    </xf>
    <xf borderId="47" fillId="0" fontId="5" numFmtId="9" xfId="0" applyAlignment="1" applyBorder="1" applyFont="1" applyNumberFormat="1">
      <alignment horizontal="center" vertical="center"/>
    </xf>
    <xf borderId="48" fillId="0" fontId="5" numFmtId="9" xfId="0" applyAlignment="1" applyBorder="1" applyFont="1" applyNumberFormat="1">
      <alignment horizontal="center" vertical="center"/>
    </xf>
    <xf borderId="45" fillId="2" fontId="5" numFmtId="0" xfId="0" applyAlignment="1" applyBorder="1" applyFont="1">
      <alignment horizontal="center" shrinkToFit="0" vertical="center" wrapText="1"/>
    </xf>
    <xf borderId="45" fillId="0" fontId="28" numFmtId="0" xfId="0" applyAlignment="1" applyBorder="1" applyFont="1">
      <alignment horizontal="center" shrinkToFit="0" vertical="center" wrapText="1"/>
    </xf>
    <xf borderId="45" fillId="0" fontId="5" numFmtId="3" xfId="0" applyAlignment="1" applyBorder="1" applyFont="1" applyNumberFormat="1">
      <alignment horizontal="center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3" fontId="5" numFmtId="0" xfId="0" applyAlignment="1" applyBorder="1" applyFont="1">
      <alignment horizontal="center" shrinkToFit="0" vertical="center" wrapText="1"/>
    </xf>
    <xf borderId="47" fillId="0" fontId="29" numFmtId="0" xfId="0" applyAlignment="1" applyBorder="1" applyFont="1">
      <alignment horizontal="center" shrinkToFit="0" vertical="center" wrapText="1"/>
    </xf>
    <xf borderId="47" fillId="0" fontId="5" numFmtId="3" xfId="0" applyAlignment="1" applyBorder="1" applyFont="1" applyNumberFormat="1">
      <alignment horizontal="center" shrinkToFit="0" vertical="center" wrapText="1"/>
    </xf>
    <xf borderId="52" fillId="0" fontId="2" numFmtId="0" xfId="0" applyBorder="1" applyFont="1"/>
    <xf borderId="53" fillId="0" fontId="2" numFmtId="0" xfId="0" applyBorder="1" applyFont="1"/>
    <xf borderId="54" fillId="8" fontId="5" numFmtId="0" xfId="0" applyAlignment="1" applyBorder="1" applyFont="1">
      <alignment horizontal="center" shrinkToFit="0" vertical="center" wrapText="1"/>
    </xf>
    <xf borderId="52" fillId="0" fontId="6" numFmtId="0" xfId="0" applyAlignment="1" applyBorder="1" applyFont="1">
      <alignment horizontal="center" shrinkToFit="0" vertical="center" wrapText="1"/>
    </xf>
    <xf borderId="52" fillId="0" fontId="5" numFmtId="3" xfId="0" applyAlignment="1" applyBorder="1" applyFont="1" applyNumberFormat="1">
      <alignment horizontal="center" shrinkToFit="0" vertical="center" wrapText="1"/>
    </xf>
    <xf borderId="47" fillId="2" fontId="5" numFmtId="0" xfId="0" applyAlignment="1" applyBorder="1" applyFont="1">
      <alignment horizontal="center" shrinkToFit="0" vertical="center" wrapText="1"/>
    </xf>
    <xf borderId="47" fillId="0" fontId="5" numFmtId="9" xfId="0" applyAlignment="1" applyBorder="1" applyFont="1" applyNumberFormat="1">
      <alignment horizontal="center" shrinkToFit="0" vertical="center" wrapText="1"/>
    </xf>
    <xf borderId="47" fillId="16" fontId="5" numFmtId="0" xfId="0" applyAlignment="1" applyBorder="1" applyFont="1">
      <alignment horizontal="center" vertical="center"/>
    </xf>
    <xf borderId="45" fillId="28" fontId="5" numFmtId="0" xfId="0" applyAlignment="1" applyBorder="1" applyFill="1" applyFont="1">
      <alignment horizontal="center"/>
    </xf>
    <xf borderId="55" fillId="9" fontId="5" numFmtId="0" xfId="0" applyAlignment="1" applyBorder="1" applyFont="1">
      <alignment horizontal="center" shrinkToFit="0" vertical="center" wrapText="1"/>
    </xf>
    <xf borderId="49" fillId="0" fontId="6" numFmtId="0" xfId="0" applyAlignment="1" applyBorder="1" applyFont="1">
      <alignment horizontal="center" shrinkToFit="0" vertical="center" wrapText="1"/>
    </xf>
    <xf borderId="49" fillId="0" fontId="5" numFmtId="3" xfId="0" applyAlignment="1" applyBorder="1" applyFont="1" applyNumberFormat="1">
      <alignment horizontal="center" shrinkToFit="0" vertical="center" wrapText="1"/>
    </xf>
    <xf borderId="55" fillId="29" fontId="5" numFmtId="0" xfId="0" applyAlignment="1" applyBorder="1" applyFill="1" applyFont="1">
      <alignment horizontal="center" shrinkToFit="0" vertical="center" wrapText="1"/>
    </xf>
    <xf borderId="47" fillId="15" fontId="5" numFmtId="0" xfId="0" applyAlignment="1" applyBorder="1" applyFont="1">
      <alignment horizontal="center" vertical="center"/>
    </xf>
    <xf borderId="51" fillId="30" fontId="5" numFmtId="0" xfId="0" applyAlignment="1" applyBorder="1" applyFill="1" applyFont="1">
      <alignment horizontal="center" vertical="center"/>
    </xf>
    <xf borderId="51" fillId="27" fontId="6" numFmtId="4" xfId="0" applyAlignment="1" applyBorder="1" applyFont="1" applyNumberFormat="1">
      <alignment horizontal="center" vertical="center"/>
    </xf>
    <xf borderId="47" fillId="0" fontId="6" numFmtId="3" xfId="0" applyAlignment="1" applyBorder="1" applyFont="1" applyNumberFormat="1">
      <alignment horizontal="center" vertical="center"/>
    </xf>
    <xf borderId="56" fillId="30" fontId="5" numFmtId="0" xfId="0" applyAlignment="1" applyBorder="1" applyFont="1">
      <alignment horizontal="center" shrinkToFit="0" vertical="center" wrapText="1"/>
    </xf>
    <xf borderId="57" fillId="30" fontId="5" numFmtId="0" xfId="0" applyAlignment="1" applyBorder="1" applyFont="1">
      <alignment horizontal="center" shrinkToFit="0" vertical="center" wrapText="1"/>
    </xf>
    <xf borderId="57" fillId="30" fontId="5" numFmtId="3" xfId="0" applyAlignment="1" applyBorder="1" applyFont="1" applyNumberFormat="1">
      <alignment horizontal="center" shrinkToFit="0" vertical="center" wrapText="1"/>
    </xf>
    <xf borderId="58" fillId="30" fontId="5" numFmtId="0" xfId="0" applyAlignment="1" applyBorder="1" applyFont="1">
      <alignment horizontal="center" shrinkToFit="0" vertical="center" wrapText="1"/>
    </xf>
    <xf borderId="59" fillId="30" fontId="5" numFmtId="0" xfId="0" applyAlignment="1" applyBorder="1" applyFont="1">
      <alignment horizontal="center" shrinkToFit="0" vertical="center" wrapText="1"/>
    </xf>
    <xf borderId="45" fillId="30" fontId="30" numFmtId="0" xfId="0" applyAlignment="1" applyBorder="1" applyFont="1">
      <alignment horizontal="center" shrinkToFit="0" vertical="center" wrapText="1"/>
    </xf>
    <xf borderId="45" fillId="30" fontId="5" numFmtId="3" xfId="0" applyAlignment="1" applyBorder="1" applyFont="1" applyNumberFormat="1">
      <alignment horizontal="center" shrinkToFit="0" vertical="center" wrapText="1"/>
    </xf>
    <xf borderId="45" fillId="30" fontId="5" numFmtId="0" xfId="0" applyAlignment="1" applyBorder="1" applyFont="1">
      <alignment horizontal="center" shrinkToFit="0" vertical="center" wrapText="1"/>
    </xf>
    <xf borderId="46" fillId="30" fontId="5" numFmtId="0" xfId="0" applyAlignment="1" applyBorder="1" applyFont="1">
      <alignment horizontal="center" shrinkToFit="0" vertical="center" wrapText="1"/>
    </xf>
    <xf borderId="45" fillId="30" fontId="6" numFmtId="0" xfId="0" applyAlignment="1" applyBorder="1" applyFont="1">
      <alignment horizontal="center" shrinkToFit="0" vertical="center" wrapText="1"/>
    </xf>
    <xf borderId="45" fillId="8" fontId="5" numFmtId="0" xfId="0" applyAlignment="1" applyBorder="1" applyFont="1">
      <alignment horizontal="center" shrinkToFit="0" vertical="center" wrapText="1"/>
    </xf>
    <xf borderId="45" fillId="0" fontId="5" numFmtId="9" xfId="0" applyAlignment="1" applyBorder="1" applyFont="1" applyNumberFormat="1">
      <alignment horizontal="center" shrinkToFit="0" vertical="center" wrapText="1"/>
    </xf>
    <xf borderId="60" fillId="30" fontId="5" numFmtId="0" xfId="0" applyAlignment="1" applyBorder="1" applyFont="1">
      <alignment horizontal="center" shrinkToFit="0" vertical="center" wrapText="1"/>
    </xf>
    <xf borderId="61" fillId="30" fontId="5" numFmtId="0" xfId="0" applyAlignment="1" applyBorder="1" applyFont="1">
      <alignment horizontal="center" shrinkToFit="0" vertical="center" wrapText="1"/>
    </xf>
    <xf borderId="61" fillId="30" fontId="5" numFmtId="3" xfId="0" applyAlignment="1" applyBorder="1" applyFont="1" applyNumberFormat="1">
      <alignment horizontal="center" shrinkToFit="0" vertical="center" wrapText="1"/>
    </xf>
    <xf borderId="62" fillId="30" fontId="5" numFmtId="0" xfId="0" applyAlignment="1" applyBorder="1" applyFont="1">
      <alignment horizontal="center" shrinkToFit="0" vertical="center" wrapText="1"/>
    </xf>
    <xf borderId="8" fillId="16" fontId="5" numFmtId="0" xfId="0" applyAlignment="1" applyBorder="1" applyFont="1">
      <alignment horizontal="center"/>
    </xf>
    <xf borderId="17" fillId="0" fontId="3" numFmtId="0" xfId="0" applyAlignment="1" applyBorder="1" applyFont="1">
      <alignment horizontal="center" shrinkToFit="0" vertical="center" wrapText="1"/>
    </xf>
    <xf borderId="28" fillId="27" fontId="17" numFmtId="0" xfId="0" applyAlignment="1" applyBorder="1" applyFont="1">
      <alignment horizontal="center" shrinkToFit="0" vertical="center" wrapText="1"/>
    </xf>
    <xf borderId="28" fillId="2" fontId="17" numFmtId="0" xfId="0" applyAlignment="1" applyBorder="1" applyFont="1">
      <alignment horizontal="center" shrinkToFit="0" vertical="center" wrapText="1"/>
    </xf>
    <xf borderId="28" fillId="3" fontId="17" numFmtId="0" xfId="0" applyAlignment="1" applyBorder="1" applyFont="1">
      <alignment horizontal="center" shrinkToFit="0" vertical="center" wrapText="1"/>
    </xf>
    <xf borderId="28" fillId="4" fontId="17" numFmtId="0" xfId="0" applyAlignment="1" applyBorder="1" applyFont="1">
      <alignment horizontal="center" shrinkToFit="0" vertical="center" wrapText="1"/>
    </xf>
    <xf borderId="28" fillId="5" fontId="17" numFmtId="0" xfId="0" applyAlignment="1" applyBorder="1" applyFont="1">
      <alignment horizontal="center" shrinkToFit="0" vertical="center" wrapText="1"/>
    </xf>
    <xf borderId="28" fillId="6" fontId="17" numFmtId="0" xfId="0" applyAlignment="1" applyBorder="1" applyFont="1">
      <alignment horizontal="center" shrinkToFit="0" vertical="center" wrapText="1"/>
    </xf>
    <xf borderId="28" fillId="7" fontId="17" numFmtId="0" xfId="0" applyAlignment="1" applyBorder="1" applyFont="1">
      <alignment horizontal="center" shrinkToFit="0" vertical="center" wrapText="1"/>
    </xf>
    <xf borderId="28" fillId="8" fontId="17" numFmtId="0" xfId="0" applyAlignment="1" applyBorder="1" applyFont="1">
      <alignment horizontal="center" shrinkToFit="0" vertical="center" wrapText="1"/>
    </xf>
    <xf borderId="28" fillId="9" fontId="17" numFmtId="0" xfId="0" applyAlignment="1" applyBorder="1" applyFont="1">
      <alignment horizontal="center" shrinkToFit="0" vertical="center" wrapText="1"/>
    </xf>
    <xf borderId="28" fillId="10" fontId="17" numFmtId="0" xfId="0" applyAlignment="1" applyBorder="1" applyFont="1">
      <alignment horizontal="center" shrinkToFit="0" vertical="center" wrapText="1"/>
    </xf>
    <xf borderId="28" fillId="11" fontId="17" numFmtId="0" xfId="0" applyAlignment="1" applyBorder="1" applyFont="1">
      <alignment horizontal="center" shrinkToFit="0" vertical="center" wrapText="1"/>
    </xf>
    <xf borderId="28" fillId="12" fontId="17" numFmtId="0" xfId="0" applyAlignment="1" applyBorder="1" applyFont="1">
      <alignment horizontal="center" shrinkToFit="0" vertical="center" wrapText="1"/>
    </xf>
    <xf borderId="28" fillId="13" fontId="17" numFmtId="0" xfId="0" applyAlignment="1" applyBorder="1" applyFont="1">
      <alignment horizontal="center" shrinkToFit="0" vertical="center" wrapText="1"/>
    </xf>
    <xf borderId="28" fillId="14" fontId="17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0" fillId="0" fontId="5" numFmtId="2" xfId="0" applyFont="1" applyNumberFormat="1"/>
    <xf borderId="63" fillId="0" fontId="6" numFmtId="0" xfId="0" applyAlignment="1" applyBorder="1" applyFont="1">
      <alignment horizontal="center" shrinkToFit="0" vertical="center" wrapText="1"/>
    </xf>
    <xf borderId="64" fillId="0" fontId="2" numFmtId="0" xfId="0" applyBorder="1" applyFont="1"/>
    <xf borderId="65" fillId="0" fontId="6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45" fillId="0" fontId="5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center" vertical="center"/>
    </xf>
    <xf borderId="45" fillId="3" fontId="5" numFmtId="0" xfId="0" applyAlignment="1" applyBorder="1" applyFont="1">
      <alignment horizontal="center" shrinkToFit="0" vertical="center" wrapText="1"/>
    </xf>
    <xf borderId="45" fillId="4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shrinkToFit="0" vertical="center" wrapText="1"/>
    </xf>
    <xf borderId="45" fillId="5" fontId="5" numFmtId="0" xfId="0" applyAlignment="1" applyBorder="1" applyFont="1">
      <alignment horizontal="center" shrinkToFit="0" vertical="center" wrapText="1"/>
    </xf>
    <xf borderId="52" fillId="0" fontId="5" numFmtId="0" xfId="0" applyAlignment="1" applyBorder="1" applyFont="1">
      <alignment horizontal="center" shrinkToFit="0" vertical="center" wrapText="1"/>
    </xf>
    <xf borderId="45" fillId="6" fontId="5" numFmtId="0" xfId="0" applyAlignment="1" applyBorder="1" applyFont="1">
      <alignment horizontal="center" shrinkToFit="0" vertical="center" wrapText="1"/>
    </xf>
    <xf borderId="45" fillId="7" fontId="5" numFmtId="0" xfId="0" applyAlignment="1" applyBorder="1" applyFont="1">
      <alignment horizontal="center" shrinkToFit="0" vertical="center" wrapText="1"/>
    </xf>
    <xf borderId="49" fillId="0" fontId="5" numFmtId="0" xfId="0" applyAlignment="1" applyBorder="1" applyFont="1">
      <alignment horizontal="center" shrinkToFit="0" vertical="center" wrapText="1"/>
    </xf>
    <xf borderId="45" fillId="9" fontId="5" numFmtId="0" xfId="0" applyAlignment="1" applyBorder="1" applyFont="1">
      <alignment horizontal="center" shrinkToFit="0" vertical="center" wrapText="1"/>
    </xf>
    <xf borderId="61" fillId="30" fontId="5" numFmtId="0" xfId="0" applyAlignment="1" applyBorder="1" applyFont="1">
      <alignment horizontal="center" vertical="center"/>
    </xf>
    <xf borderId="61" fillId="0" fontId="6" numFmtId="0" xfId="0" applyAlignment="1" applyBorder="1" applyFont="1">
      <alignment horizontal="center" vertical="center"/>
    </xf>
    <xf borderId="61" fillId="0" fontId="5" numFmtId="3" xfId="0" applyAlignment="1" applyBorder="1" applyFont="1" applyNumberFormat="1">
      <alignment horizontal="center" vertical="center"/>
    </xf>
    <xf borderId="61" fillId="27" fontId="6" numFmtId="4" xfId="0" applyAlignment="1" applyBorder="1" applyFont="1" applyNumberFormat="1">
      <alignment horizontal="center" vertical="center"/>
    </xf>
    <xf borderId="61" fillId="0" fontId="6" numFmtId="3" xfId="0" applyAlignment="1" applyBorder="1" applyFont="1" applyNumberFormat="1">
      <alignment horizontal="center" vertical="center"/>
    </xf>
    <xf borderId="61" fillId="0" fontId="5" numFmtId="4" xfId="0" applyAlignment="1" applyBorder="1" applyFont="1" applyNumberFormat="1">
      <alignment horizontal="center" vertical="center"/>
    </xf>
    <xf borderId="45" fillId="10" fontId="5" numFmtId="0" xfId="0" applyAlignment="1" applyBorder="1" applyFont="1">
      <alignment horizontal="center" shrinkToFit="0" vertical="center" wrapText="1"/>
    </xf>
    <xf borderId="67" fillId="30" fontId="5" numFmtId="0" xfId="0" applyAlignment="1" applyBorder="1" applyFont="1">
      <alignment horizontal="center" shrinkToFit="0" vertical="center" wrapText="1"/>
    </xf>
    <xf borderId="54" fillId="30" fontId="5" numFmtId="0" xfId="0" applyAlignment="1" applyBorder="1" applyFont="1">
      <alignment horizontal="center" shrinkToFit="0" vertical="center" wrapText="1"/>
    </xf>
    <xf borderId="54" fillId="30" fontId="5" numFmtId="3" xfId="0" applyAlignment="1" applyBorder="1" applyFont="1" applyNumberFormat="1">
      <alignment horizontal="center" shrinkToFit="0" vertical="center" wrapText="1"/>
    </xf>
    <xf borderId="68" fillId="30" fontId="5" numFmtId="0" xfId="0" applyAlignment="1" applyBorder="1" applyFont="1">
      <alignment horizontal="center" shrinkToFit="0" vertical="center" wrapText="1"/>
    </xf>
    <xf borderId="45" fillId="11" fontId="5" numFmtId="0" xfId="0" applyAlignment="1" applyBorder="1" applyFont="1">
      <alignment horizontal="center" shrinkToFit="0" vertical="center" wrapText="1"/>
    </xf>
    <xf borderId="45" fillId="12" fontId="5" numFmtId="0" xfId="0" applyAlignment="1" applyBorder="1" applyFont="1">
      <alignment horizontal="center" shrinkToFit="0" vertical="center" wrapText="1"/>
    </xf>
    <xf borderId="45" fillId="13" fontId="5" numFmtId="0" xfId="0" applyAlignment="1" applyBorder="1" applyFont="1">
      <alignment horizontal="center" shrinkToFit="0" vertical="center" wrapText="1"/>
    </xf>
    <xf borderId="51" fillId="9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4" fillId="30" fontId="5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 vertical="center"/>
    </xf>
    <xf borderId="4" fillId="27" fontId="5" numFmtId="4" xfId="0" applyAlignment="1" applyBorder="1" applyFont="1" applyNumberFormat="1">
      <alignment horizontal="center" vertical="center"/>
    </xf>
    <xf borderId="1" fillId="0" fontId="3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54" fillId="2" fontId="3" numFmtId="0" xfId="0" applyAlignment="1" applyBorder="1" applyFont="1">
      <alignment horizontal="center" shrinkToFit="0" vertical="center" wrapText="1"/>
    </xf>
    <xf borderId="54" fillId="3" fontId="3" numFmtId="0" xfId="0" applyAlignment="1" applyBorder="1" applyFont="1">
      <alignment horizontal="center" shrinkToFit="0" vertical="center" wrapText="1"/>
    </xf>
    <xf borderId="54" fillId="12" fontId="5" numFmtId="0" xfId="0" applyBorder="1" applyFont="1"/>
    <xf borderId="54" fillId="8" fontId="3" numFmtId="0" xfId="0" applyAlignment="1" applyBorder="1" applyFont="1">
      <alignment horizontal="center" shrinkToFit="0" vertical="center" wrapText="1"/>
    </xf>
    <xf borderId="54" fillId="9" fontId="3" numFmtId="0" xfId="0" applyAlignment="1" applyBorder="1" applyFont="1">
      <alignment horizontal="center" shrinkToFit="0" vertical="center" wrapText="1"/>
    </xf>
    <xf borderId="54" fillId="14" fontId="3" numFmtId="0" xfId="0" applyAlignment="1" applyBorder="1" applyFont="1">
      <alignment horizontal="center" shrinkToFit="0" vertical="center" wrapText="1"/>
    </xf>
    <xf borderId="54" fillId="15" fontId="3" numFmtId="0" xfId="0" applyAlignment="1" applyBorder="1" applyFont="1">
      <alignment shrinkToFit="0" vertical="center" wrapText="1"/>
    </xf>
    <xf borderId="54" fillId="16" fontId="5" numFmtId="0" xfId="0" applyBorder="1" applyFont="1"/>
    <xf borderId="34" fillId="0" fontId="6" numFmtId="0" xfId="0" applyAlignment="1" applyBorder="1" applyFont="1">
      <alignment horizontal="center" shrinkToFit="0" vertical="center" wrapText="1"/>
    </xf>
    <xf borderId="45" fillId="27" fontId="17" numFmtId="2" xfId="0" applyAlignment="1" applyBorder="1" applyFont="1" applyNumberFormat="1">
      <alignment horizontal="center" shrinkToFit="0" vertical="center" wrapText="1"/>
    </xf>
    <xf borderId="45" fillId="0" fontId="17" numFmtId="0" xfId="0" applyAlignment="1" applyBorder="1" applyFont="1">
      <alignment horizontal="center" shrinkToFit="0" vertical="center" wrapText="1"/>
    </xf>
    <xf borderId="45" fillId="0" fontId="5" numFmtId="0" xfId="0" applyBorder="1" applyFont="1"/>
    <xf borderId="45" fillId="0" fontId="3" numFmtId="0" xfId="0" applyAlignment="1" applyBorder="1" applyFont="1">
      <alignment horizontal="center" shrinkToFit="0" vertical="center" wrapText="1"/>
    </xf>
    <xf borderId="45" fillId="0" fontId="17" numFmtId="0" xfId="0" applyAlignment="1" applyBorder="1" applyFont="1">
      <alignment shrinkToFit="0" vertical="center" wrapText="1"/>
    </xf>
    <xf borderId="13" fillId="31" fontId="5" numFmtId="0" xfId="0" applyAlignment="1" applyBorder="1" applyFill="1" applyFont="1">
      <alignment horizontal="center" vertical="center"/>
    </xf>
    <xf borderId="34" fillId="0" fontId="32" numFmtId="0" xfId="0" applyAlignment="1" applyBorder="1" applyFont="1">
      <alignment horizontal="center" shrinkToFit="0" vertical="center" wrapText="1"/>
    </xf>
    <xf borderId="13" fillId="32" fontId="5" numFmtId="0" xfId="0" applyAlignment="1" applyBorder="1" applyFill="1" applyFont="1">
      <alignment horizontal="center" vertical="center"/>
    </xf>
    <xf quotePrefix="1" borderId="0" fillId="0" fontId="5" numFmtId="0" xfId="0" applyFont="1"/>
    <xf borderId="20" fillId="0" fontId="3" numFmtId="0" xfId="0" applyAlignment="1" applyBorder="1" applyFont="1">
      <alignment horizontal="center" shrinkToFit="0" vertical="center" wrapText="1"/>
    </xf>
    <xf borderId="13" fillId="13" fontId="5" numFmtId="0" xfId="0" applyAlignment="1" applyBorder="1" applyFont="1">
      <alignment horizontal="center" vertical="center"/>
    </xf>
    <xf borderId="0" fillId="0" fontId="33" numFmtId="0" xfId="0" applyAlignment="1" applyFont="1">
      <alignment horizontal="left" vertical="center"/>
    </xf>
    <xf borderId="14" fillId="4" fontId="3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shrinkToFit="0" vertical="center" wrapText="1"/>
    </xf>
    <xf borderId="14" fillId="6" fontId="3" numFmtId="0" xfId="0" applyAlignment="1" applyBorder="1" applyFont="1">
      <alignment horizontal="center" shrinkToFit="0" vertical="center" wrapText="1"/>
    </xf>
    <xf borderId="14" fillId="7" fontId="3" numFmtId="0" xfId="0" applyAlignment="1" applyBorder="1" applyFont="1">
      <alignment horizontal="center" shrinkToFit="0" vertical="center" wrapText="1"/>
    </xf>
    <xf borderId="14" fillId="10" fontId="3" numFmtId="0" xfId="0" applyAlignment="1" applyBorder="1" applyFont="1">
      <alignment horizontal="center" shrinkToFit="0" vertical="center" wrapText="1"/>
    </xf>
    <xf borderId="14" fillId="11" fontId="3" numFmtId="0" xfId="0" applyAlignment="1" applyBorder="1" applyFont="1">
      <alignment horizontal="center" shrinkToFit="0" vertical="center" wrapText="1"/>
    </xf>
    <xf borderId="14" fillId="12" fontId="3" numFmtId="0" xfId="0" applyAlignment="1" applyBorder="1" applyFont="1">
      <alignment horizontal="center" shrinkToFit="0" vertical="center" wrapText="1"/>
    </xf>
    <xf borderId="14" fillId="13" fontId="3" numFmtId="0" xfId="0" applyAlignment="1" applyBorder="1" applyFont="1">
      <alignment horizontal="center" shrinkToFit="0" vertical="center" wrapText="1"/>
    </xf>
    <xf borderId="16" fillId="14" fontId="3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30" fillId="0" fontId="34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shrinkToFit="0" textRotation="255" vertical="center" wrapText="1"/>
    </xf>
    <xf borderId="11" fillId="17" fontId="3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11" fillId="18" fontId="17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6" fillId="17" fontId="3" numFmtId="0" xfId="0" applyAlignment="1" applyBorder="1" applyFont="1">
      <alignment horizontal="center" shrinkToFit="0" vertical="center" wrapText="1"/>
    </xf>
    <xf borderId="4" fillId="17" fontId="3" numFmtId="0" xfId="0" applyAlignment="1" applyBorder="1" applyFont="1">
      <alignment horizontal="center" shrinkToFit="0" vertical="center" wrapText="1"/>
    </xf>
    <xf borderId="4" fillId="19" fontId="3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4" fillId="20" fontId="3" numFmtId="0" xfId="0" applyAlignment="1" applyBorder="1" applyFont="1">
      <alignment horizontal="center" shrinkToFit="0" vertical="center" wrapText="1"/>
    </xf>
    <xf quotePrefix="1" borderId="13" fillId="0" fontId="5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shrinkToFit="0" vertical="center" wrapText="1"/>
    </xf>
    <xf borderId="4" fillId="22" fontId="3" numFmtId="0" xfId="0" applyAlignment="1" applyBorder="1" applyFont="1">
      <alignment horizontal="center" shrinkToFit="0" vertical="center" wrapText="1"/>
    </xf>
    <xf borderId="4" fillId="24" fontId="3" numFmtId="0" xfId="0" applyAlignment="1" applyBorder="1" applyFont="1">
      <alignment horizontal="center" shrinkToFit="0" vertical="center" wrapText="1"/>
    </xf>
    <xf borderId="5" fillId="0" fontId="35" numFmtId="0" xfId="0" applyAlignment="1" applyBorder="1" applyFont="1">
      <alignment horizontal="center" shrinkToFit="0" vertical="center" wrapText="1"/>
    </xf>
    <xf borderId="69" fillId="0" fontId="2" numFmtId="0" xfId="0" applyBorder="1" applyFont="1"/>
    <xf borderId="70" fillId="0" fontId="6" numFmtId="0" xfId="0" applyAlignment="1" applyBorder="1" applyFont="1">
      <alignment horizontal="center" shrinkToFit="0" vertical="center" wrapText="1"/>
    </xf>
    <xf borderId="71" fillId="0" fontId="2" numFmtId="0" xfId="0" applyBorder="1" applyFont="1"/>
    <xf borderId="5" fillId="0" fontId="6" numFmtId="0" xfId="0" applyAlignment="1" applyBorder="1" applyFont="1">
      <alignment horizontal="center" textRotation="255" vertical="center"/>
    </xf>
    <xf borderId="72" fillId="0" fontId="2" numFmtId="0" xfId="0" applyBorder="1" applyFont="1"/>
    <xf borderId="61" fillId="0" fontId="6" numFmtId="0" xfId="0" applyAlignment="1" applyBorder="1" applyFont="1">
      <alignment horizontal="center" shrinkToFit="0" vertical="center" wrapText="1"/>
    </xf>
    <xf borderId="62" fillId="0" fontId="6" numFmtId="0" xfId="0" applyAlignment="1" applyBorder="1" applyFont="1">
      <alignment horizontal="center" shrinkToFit="0" vertical="center" wrapText="1"/>
    </xf>
    <xf borderId="67" fillId="2" fontId="5" numFmtId="0" xfId="0" applyAlignment="1" applyBorder="1" applyFont="1">
      <alignment horizontal="center" shrinkToFit="0" vertical="center" wrapText="1"/>
    </xf>
    <xf borderId="52" fillId="0" fontId="36" numFmtId="0" xfId="0" applyAlignment="1" applyBorder="1" applyFont="1">
      <alignment horizontal="center" shrinkToFit="0" vertical="center" wrapText="1"/>
    </xf>
    <xf borderId="53" fillId="0" fontId="5" numFmtId="0" xfId="0" applyAlignment="1" applyBorder="1" applyFont="1">
      <alignment horizontal="center" shrinkToFit="0" vertical="center" wrapText="1"/>
    </xf>
    <xf borderId="53" fillId="0" fontId="5" numFmtId="9" xfId="0" applyAlignment="1" applyBorder="1" applyFont="1" applyNumberFormat="1">
      <alignment horizontal="center" shrinkToFit="0" vertical="center" wrapText="1"/>
    </xf>
    <xf borderId="59" fillId="3" fontId="5" numFmtId="0" xfId="0" applyAlignment="1" applyBorder="1" applyFont="1">
      <alignment horizontal="center" shrinkToFit="0" vertical="center" wrapText="1"/>
    </xf>
    <xf borderId="46" fillId="0" fontId="5" numFmtId="0" xfId="0" applyAlignment="1" applyBorder="1" applyFont="1">
      <alignment horizontal="center" shrinkToFit="0" vertical="center" wrapText="1"/>
    </xf>
    <xf borderId="46" fillId="0" fontId="5" numFmtId="9" xfId="0" applyAlignment="1" applyBorder="1" applyFont="1" applyNumberFormat="1">
      <alignment horizontal="center" shrinkToFit="0" vertical="center" wrapText="1"/>
    </xf>
    <xf borderId="59" fillId="4" fontId="5" numFmtId="0" xfId="0" applyAlignment="1" applyBorder="1" applyFont="1">
      <alignment horizontal="center" shrinkToFit="0" vertical="center" wrapText="1"/>
    </xf>
    <xf borderId="59" fillId="5" fontId="5" numFmtId="0" xfId="0" applyAlignment="1" applyBorder="1" applyFont="1">
      <alignment horizontal="center" shrinkToFit="0" vertical="center" wrapText="1"/>
    </xf>
    <xf borderId="59" fillId="6" fontId="5" numFmtId="0" xfId="0" applyAlignment="1" applyBorder="1" applyFont="1">
      <alignment horizontal="center" shrinkToFit="0" vertical="center" wrapText="1"/>
    </xf>
    <xf borderId="45" fillId="27" fontId="17" numFmtId="1" xfId="0" applyAlignment="1" applyBorder="1" applyFont="1" applyNumberFormat="1">
      <alignment horizontal="center" shrinkToFit="0" vertical="center" wrapText="1"/>
    </xf>
    <xf borderId="4" fillId="21" fontId="3" numFmtId="0" xfId="0" applyAlignment="1" applyBorder="1" applyFont="1">
      <alignment horizontal="center" shrinkToFit="0" vertical="center" wrapText="1"/>
    </xf>
    <xf borderId="59" fillId="7" fontId="5" numFmtId="0" xfId="0" applyAlignment="1" applyBorder="1" applyFont="1">
      <alignment horizontal="center" shrinkToFit="0" vertical="center" wrapText="1"/>
    </xf>
    <xf borderId="59" fillId="8" fontId="5" numFmtId="0" xfId="0" applyAlignment="1" applyBorder="1" applyFont="1">
      <alignment horizontal="center" shrinkToFit="0" vertical="center" wrapText="1"/>
    </xf>
    <xf borderId="59" fillId="9" fontId="5" numFmtId="0" xfId="0" applyAlignment="1" applyBorder="1" applyFont="1">
      <alignment horizontal="center" shrinkToFit="0" vertical="center" wrapText="1"/>
    </xf>
    <xf borderId="59" fillId="10" fontId="5" numFmtId="0" xfId="0" applyAlignment="1" applyBorder="1" applyFont="1">
      <alignment horizontal="center" shrinkToFit="0" vertical="center" wrapText="1"/>
    </xf>
    <xf borderId="29" fillId="20" fontId="3" numFmtId="0" xfId="0" applyAlignment="1" applyBorder="1" applyFont="1">
      <alignment horizontal="center" shrinkToFit="0" vertical="center" wrapText="1"/>
    </xf>
    <xf borderId="59" fillId="11" fontId="5" numFmtId="0" xfId="0" applyAlignment="1" applyBorder="1" applyFont="1">
      <alignment horizontal="center" shrinkToFit="0" vertical="center" wrapText="1"/>
    </xf>
    <xf borderId="59" fillId="12" fontId="5" numFmtId="0" xfId="0" applyAlignment="1" applyBorder="1" applyFont="1">
      <alignment horizontal="center" shrinkToFit="0" vertical="center" wrapText="1"/>
    </xf>
    <xf borderId="59" fillId="13" fontId="5" numFmtId="0" xfId="0" applyAlignment="1" applyBorder="1" applyFont="1">
      <alignment horizontal="center" shrinkToFit="0" vertical="center" wrapText="1"/>
    </xf>
    <xf borderId="73" fillId="9" fontId="5" numFmtId="0" xfId="0" applyAlignment="1" applyBorder="1" applyFont="1">
      <alignment horizontal="center" shrinkToFit="0" vertical="center" wrapText="1"/>
    </xf>
    <xf borderId="48" fillId="0" fontId="5" numFmtId="0" xfId="0" applyAlignment="1" applyBorder="1" applyFont="1">
      <alignment horizontal="center" shrinkToFit="0" vertical="center" wrapText="1"/>
    </xf>
    <xf borderId="60" fillId="30" fontId="5" numFmtId="0" xfId="0" applyAlignment="1" applyBorder="1" applyFont="1">
      <alignment horizontal="center" vertical="center"/>
    </xf>
    <xf borderId="62" fillId="0" fontId="5" numFmtId="4" xfId="0" applyAlignment="1" applyBorder="1" applyFont="1" applyNumberFormat="1">
      <alignment horizontal="center" vertical="center"/>
    </xf>
    <xf borderId="62" fillId="0" fontId="5" numFmtId="9" xfId="0" applyAlignment="1" applyBorder="1" applyFont="1" applyNumberFormat="1">
      <alignment horizontal="center" shrinkToFit="0" vertical="center" wrapText="1"/>
    </xf>
    <xf borderId="29" fillId="22" fontId="3" numFmtId="0" xfId="0" applyAlignment="1" applyBorder="1" applyFont="1">
      <alignment horizontal="center" shrinkToFit="0" vertical="center" wrapText="1"/>
    </xf>
    <xf borderId="1" fillId="0" fontId="5" numFmtId="2" xfId="0" applyAlignment="1" applyBorder="1" applyFont="1" applyNumberFormat="1">
      <alignment horizontal="center" vertical="center"/>
    </xf>
    <xf borderId="2" fillId="0" fontId="5" numFmtId="2" xfId="0" applyAlignment="1" applyBorder="1" applyFont="1" applyNumberFormat="1">
      <alignment horizontal="center" vertical="center"/>
    </xf>
    <xf borderId="3" fillId="0" fontId="5" numFmtId="2" xfId="0" applyAlignment="1" applyBorder="1" applyFont="1" applyNumberFormat="1">
      <alignment horizontal="center" vertical="center"/>
    </xf>
    <xf borderId="20" fillId="0" fontId="5" numFmtId="2" xfId="0" applyAlignment="1" applyBorder="1" applyFont="1" applyNumberFormat="1">
      <alignment horizontal="center" vertical="center"/>
    </xf>
    <xf borderId="21" fillId="0" fontId="5" numFmtId="2" xfId="0" applyAlignment="1" applyBorder="1" applyFont="1" applyNumberFormat="1">
      <alignment horizontal="center" vertical="center"/>
    </xf>
    <xf borderId="22" fillId="0" fontId="5" numFmtId="2" xfId="0" applyAlignment="1" applyBorder="1" applyFont="1" applyNumberFormat="1">
      <alignment horizontal="center" vertical="center"/>
    </xf>
    <xf borderId="30" fillId="0" fontId="5" numFmtId="2" xfId="0" applyAlignment="1" applyBorder="1" applyFont="1" applyNumberFormat="1">
      <alignment horizontal="center" vertical="center"/>
    </xf>
    <xf borderId="33" fillId="0" fontId="5" numFmtId="2" xfId="0" applyAlignment="1" applyBorder="1" applyFont="1" applyNumberFormat="1">
      <alignment horizontal="center" vertical="center"/>
    </xf>
    <xf borderId="34" fillId="0" fontId="5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l.wikipedia.org/wiki/Lw%C3%B3w" TargetMode="External"/><Relationship Id="rId194" Type="http://schemas.openxmlformats.org/officeDocument/2006/relationships/hyperlink" Target="https://pl.wikipedia.org/wiki/%C5%BB%C3%B3%C5%82kiew" TargetMode="External"/><Relationship Id="rId193" Type="http://schemas.openxmlformats.org/officeDocument/2006/relationships/hyperlink" Target="https://pl.wikipedia.org/wiki/%C5%BB%C3%B3%C5%82kiew" TargetMode="External"/><Relationship Id="rId192" Type="http://schemas.openxmlformats.org/officeDocument/2006/relationships/hyperlink" Target="https://pl.wikipedia.org/wiki/Wybory_parlamentarne_w_Polsce_w_1922_roku" TargetMode="External"/><Relationship Id="rId191" Type="http://schemas.openxmlformats.org/officeDocument/2006/relationships/hyperlink" Target="https://pl.wikipedia.org/wiki/%C5%BB%C3%B3%C5%82kiew" TargetMode="External"/><Relationship Id="rId187" Type="http://schemas.openxmlformats.org/officeDocument/2006/relationships/hyperlink" Target="https://pl.wikipedia.org/wiki/Sambor_(miasto)" TargetMode="External"/><Relationship Id="rId186" Type="http://schemas.openxmlformats.org/officeDocument/2006/relationships/hyperlink" Target="https://pl.wikipedia.org/wiki/Sambor_(miasto)" TargetMode="External"/><Relationship Id="rId185" Type="http://schemas.openxmlformats.org/officeDocument/2006/relationships/hyperlink" Target="https://pl.wikipedia.org/wiki/Sambor_(miasto)" TargetMode="External"/><Relationship Id="rId184" Type="http://schemas.openxmlformats.org/officeDocument/2006/relationships/hyperlink" Target="https://pl.wikipedia.org/wiki/Przemy%C5%9Bl" TargetMode="External"/><Relationship Id="rId189" Type="http://schemas.openxmlformats.org/officeDocument/2006/relationships/hyperlink" Target="https://pl.wikipedia.org/wiki/Lw%C3%B3w" TargetMode="External"/><Relationship Id="rId188" Type="http://schemas.openxmlformats.org/officeDocument/2006/relationships/hyperlink" Target="https://pl.wikipedia.org/wiki/Lw%C3%B3w" TargetMode="External"/><Relationship Id="rId183" Type="http://schemas.openxmlformats.org/officeDocument/2006/relationships/hyperlink" Target="https://pl.wikipedia.org/wiki/Przemy%C5%9Bl" TargetMode="External"/><Relationship Id="rId182" Type="http://schemas.openxmlformats.org/officeDocument/2006/relationships/hyperlink" Target="https://pl.wikipedia.org/wiki/Przemy%C5%9Bl" TargetMode="External"/><Relationship Id="rId181" Type="http://schemas.openxmlformats.org/officeDocument/2006/relationships/hyperlink" Target="https://pl.wikipedia.org/wiki/Rzesz%C3%B3w" TargetMode="External"/><Relationship Id="rId180" Type="http://schemas.openxmlformats.org/officeDocument/2006/relationships/hyperlink" Target="https://pl.wikipedia.org/wiki/Rzesz%C3%B3w" TargetMode="External"/><Relationship Id="rId176" Type="http://schemas.openxmlformats.org/officeDocument/2006/relationships/hyperlink" Target="https://pl.wikipedia.org/wiki/Jas%C5%82o" TargetMode="External"/><Relationship Id="rId297" Type="http://schemas.openxmlformats.org/officeDocument/2006/relationships/hyperlink" Target="https://pl.wikipedia.org/wiki/Katowice" TargetMode="External"/><Relationship Id="rId175" Type="http://schemas.openxmlformats.org/officeDocument/2006/relationships/hyperlink" Target="https://pl.wikipedia.org/wiki/Tarn%C3%B3w" TargetMode="External"/><Relationship Id="rId296" Type="http://schemas.openxmlformats.org/officeDocument/2006/relationships/hyperlink" Target="https://pl.wikipedia.org/wiki/Chorz%C3%B3w" TargetMode="External"/><Relationship Id="rId174" Type="http://schemas.openxmlformats.org/officeDocument/2006/relationships/hyperlink" Target="https://pl.wikipedia.org/wiki/Tarn%C3%B3w" TargetMode="External"/><Relationship Id="rId295" Type="http://schemas.openxmlformats.org/officeDocument/2006/relationships/hyperlink" Target="https://pl.wikipedia.org/wiki/Wybory_parlamentarne_w_Polsce_w_1922_roku" TargetMode="External"/><Relationship Id="rId173" Type="http://schemas.openxmlformats.org/officeDocument/2006/relationships/hyperlink" Target="https://pl.wikipedia.org/wiki/Tarn%C3%B3w" TargetMode="External"/><Relationship Id="rId294" Type="http://schemas.openxmlformats.org/officeDocument/2006/relationships/hyperlink" Target="https://pl.wikipedia.org/wiki/Ostr%C3%B3w_Wielkopolski" TargetMode="External"/><Relationship Id="rId179" Type="http://schemas.openxmlformats.org/officeDocument/2006/relationships/hyperlink" Target="https://pl.wikipedia.org/wiki/Rzesz%C3%B3w" TargetMode="External"/><Relationship Id="rId178" Type="http://schemas.openxmlformats.org/officeDocument/2006/relationships/hyperlink" Target="https://pl.wikipedia.org/wiki/Jas%C5%82o" TargetMode="External"/><Relationship Id="rId299" Type="http://schemas.openxmlformats.org/officeDocument/2006/relationships/hyperlink" Target="https://pl.wikipedia.org/wiki/Krak%C3%B3w" TargetMode="External"/><Relationship Id="rId177" Type="http://schemas.openxmlformats.org/officeDocument/2006/relationships/hyperlink" Target="https://pl.wikipedia.org/wiki/Jas%C5%82o" TargetMode="External"/><Relationship Id="rId298" Type="http://schemas.openxmlformats.org/officeDocument/2006/relationships/hyperlink" Target="https://pl.wikipedia.org/wiki/Cieszyn" TargetMode="External"/><Relationship Id="rId198" Type="http://schemas.openxmlformats.org/officeDocument/2006/relationships/hyperlink" Target="https://pl.wikipedia.org/wiki/Iwano-Frankiwsk" TargetMode="External"/><Relationship Id="rId197" Type="http://schemas.openxmlformats.org/officeDocument/2006/relationships/hyperlink" Target="https://pl.wikipedia.org/wiki/Stryj_(miasto)" TargetMode="External"/><Relationship Id="rId196" Type="http://schemas.openxmlformats.org/officeDocument/2006/relationships/hyperlink" Target="https://pl.wikipedia.org/wiki/Stryj_(miasto)" TargetMode="External"/><Relationship Id="rId195" Type="http://schemas.openxmlformats.org/officeDocument/2006/relationships/hyperlink" Target="https://pl.wikipedia.org/wiki/Stryj_(miasto)" TargetMode="External"/><Relationship Id="rId199" Type="http://schemas.openxmlformats.org/officeDocument/2006/relationships/hyperlink" Target="https://pl.wikipedia.org/wiki/Iwano-Frankiwsk" TargetMode="External"/><Relationship Id="rId150" Type="http://schemas.openxmlformats.org/officeDocument/2006/relationships/hyperlink" Target="https://pl.wikipedia.org/wiki/Ostr%C3%B3w_Wielkopolski" TargetMode="External"/><Relationship Id="rId271" Type="http://schemas.openxmlformats.org/officeDocument/2006/relationships/hyperlink" Target="https://pl.wikipedia.org/wiki/Kielce" TargetMode="External"/><Relationship Id="rId392" Type="http://schemas.openxmlformats.org/officeDocument/2006/relationships/hyperlink" Target="https://pl.wikipedia.org/wiki/%C5%81%C3%B3d%C5%BA" TargetMode="External"/><Relationship Id="rId270" Type="http://schemas.openxmlformats.org/officeDocument/2006/relationships/hyperlink" Target="https://pl.wikipedia.org/wiki/Radom" TargetMode="External"/><Relationship Id="rId391" Type="http://schemas.openxmlformats.org/officeDocument/2006/relationships/hyperlink" Target="https://pl.wikipedia.org/wiki/Rzesz%C3%B3w" TargetMode="External"/><Relationship Id="rId390" Type="http://schemas.openxmlformats.org/officeDocument/2006/relationships/hyperlink" Target="https://pl.wikipedia.org/wiki/Cz%C4%99stochowa" TargetMode="External"/><Relationship Id="rId1" Type="http://schemas.openxmlformats.org/officeDocument/2006/relationships/hyperlink" Target="https://pl.wikipedia.org/wiki/Chrze%C5%9Bcija%C5%84ski_Zwi%C4%85zek_Jedno%C5%9Bci_Narodowej" TargetMode="External"/><Relationship Id="rId2" Type="http://schemas.openxmlformats.org/officeDocument/2006/relationships/hyperlink" Target="https://pl.wikipedia.org/wiki/Blok_Mniejszo%C5%9Bci_Narodowych" TargetMode="External"/><Relationship Id="rId3" Type="http://schemas.openxmlformats.org/officeDocument/2006/relationships/hyperlink" Target="https://pl.wikipedia.org/wiki/Polskie_Stronnictwo_Ludowe_%E2%80%9EPiast%E2%80%9D_(1913%E2%80%931931)" TargetMode="External"/><Relationship Id="rId149" Type="http://schemas.openxmlformats.org/officeDocument/2006/relationships/hyperlink" Target="https://pl.wikipedia.org/wiki/Ostr%C3%B3w_Wielkopolski" TargetMode="External"/><Relationship Id="rId4" Type="http://schemas.openxmlformats.org/officeDocument/2006/relationships/hyperlink" Target="https://pl.wikipedia.org/wiki/Polskie_Stronnictwo_Ludowe_%E2%80%9EWyzwolenie%E2%80%9D" TargetMode="External"/><Relationship Id="rId148" Type="http://schemas.openxmlformats.org/officeDocument/2006/relationships/hyperlink" Target="https://pl.wikipedia.org/wiki/Ostr%C3%B3w_Wielkopolski" TargetMode="External"/><Relationship Id="rId269" Type="http://schemas.openxmlformats.org/officeDocument/2006/relationships/hyperlink" Target="https://pl.wikipedia.org/wiki/Piotrk%C3%B3w_Trybunalski" TargetMode="External"/><Relationship Id="rId9" Type="http://schemas.openxmlformats.org/officeDocument/2006/relationships/hyperlink" Target="https://pl.wikipedia.org/wiki/Bund_(partia)" TargetMode="External"/><Relationship Id="rId143" Type="http://schemas.openxmlformats.org/officeDocument/2006/relationships/hyperlink" Target="https://pl.wikipedia.org/wiki/Pozna%C5%84" TargetMode="External"/><Relationship Id="rId264" Type="http://schemas.openxmlformats.org/officeDocument/2006/relationships/hyperlink" Target="https://pl.wikipedia.org/wiki/%C5%81%C3%B3d%C5%BA" TargetMode="External"/><Relationship Id="rId385" Type="http://schemas.openxmlformats.org/officeDocument/2006/relationships/hyperlink" Target="https://pl.wikipedia.org/wiki/Krasnystaw" TargetMode="External"/><Relationship Id="rId142" Type="http://schemas.openxmlformats.org/officeDocument/2006/relationships/hyperlink" Target="https://pl.wikipedia.org/wiki/Pozna%C5%84" TargetMode="External"/><Relationship Id="rId263" Type="http://schemas.openxmlformats.org/officeDocument/2006/relationships/hyperlink" Target="https://pl.wikipedia.org/wiki/Grodzisk_Mazowiecki" TargetMode="External"/><Relationship Id="rId384" Type="http://schemas.openxmlformats.org/officeDocument/2006/relationships/hyperlink" Target="https://pl.wikipedia.org/wiki/Konin" TargetMode="External"/><Relationship Id="rId141" Type="http://schemas.openxmlformats.org/officeDocument/2006/relationships/hyperlink" Target="https://pl.wikipedia.org/wiki/Pozna%C5%84" TargetMode="External"/><Relationship Id="rId262" Type="http://schemas.openxmlformats.org/officeDocument/2006/relationships/hyperlink" Target="https://pl.wikipedia.org/wiki/%C5%81owicz" TargetMode="External"/><Relationship Id="rId383" Type="http://schemas.openxmlformats.org/officeDocument/2006/relationships/hyperlink" Target="https://pl.wikipedia.org/wiki/W%C5%82oc%C5%82awek" TargetMode="External"/><Relationship Id="rId140" Type="http://schemas.openxmlformats.org/officeDocument/2006/relationships/hyperlink" Target="https://pl.wikipedia.org/wiki/Pozna%C5%84" TargetMode="External"/><Relationship Id="rId261" Type="http://schemas.openxmlformats.org/officeDocument/2006/relationships/hyperlink" Target="https://pl.wikipedia.org/wiki/W%C5%82oc%C5%82awek" TargetMode="External"/><Relationship Id="rId382" Type="http://schemas.openxmlformats.org/officeDocument/2006/relationships/hyperlink" Target="https://pl.wikipedia.org/wiki/Zamo%C5%9B%C4%87" TargetMode="External"/><Relationship Id="rId5" Type="http://schemas.openxmlformats.org/officeDocument/2006/relationships/hyperlink" Target="https://pl.wikipedia.org/wiki/Polska_Partia_Socjalistyczna" TargetMode="External"/><Relationship Id="rId147" Type="http://schemas.openxmlformats.org/officeDocument/2006/relationships/hyperlink" Target="https://pl.wikipedia.org/wiki/Szamotu%C5%82y" TargetMode="External"/><Relationship Id="rId268" Type="http://schemas.openxmlformats.org/officeDocument/2006/relationships/hyperlink" Target="https://pl.wikipedia.org/wiki/Cz%C4%99stochowa" TargetMode="External"/><Relationship Id="rId389" Type="http://schemas.openxmlformats.org/officeDocument/2006/relationships/hyperlink" Target="https://pl.wikipedia.org/wiki/Grodzisk_Mazowiecki" TargetMode="External"/><Relationship Id="rId6" Type="http://schemas.openxmlformats.org/officeDocument/2006/relationships/hyperlink" Target="https://pl.wikipedia.org/wiki/Narodowa_Partia_Robotnicza" TargetMode="External"/><Relationship Id="rId146" Type="http://schemas.openxmlformats.org/officeDocument/2006/relationships/hyperlink" Target="https://pl.wikipedia.org/wiki/Szamotu%C5%82y" TargetMode="External"/><Relationship Id="rId267" Type="http://schemas.openxmlformats.org/officeDocument/2006/relationships/hyperlink" Target="https://pl.wikipedia.org/wiki/Kalisz" TargetMode="External"/><Relationship Id="rId388" Type="http://schemas.openxmlformats.org/officeDocument/2006/relationships/hyperlink" Target="https://pl.wikipedia.org/wiki/Jas%C5%82o" TargetMode="External"/><Relationship Id="rId7" Type="http://schemas.openxmlformats.org/officeDocument/2006/relationships/hyperlink" Target="https://pl.wikipedia.org/wiki/Komunistyczna_Partia_Polski" TargetMode="External"/><Relationship Id="rId145" Type="http://schemas.openxmlformats.org/officeDocument/2006/relationships/hyperlink" Target="https://pl.wikipedia.org/wiki/Szamotu%C5%82y" TargetMode="External"/><Relationship Id="rId266" Type="http://schemas.openxmlformats.org/officeDocument/2006/relationships/hyperlink" Target="https://pl.wikipedia.org/wiki/Konin" TargetMode="External"/><Relationship Id="rId387" Type="http://schemas.openxmlformats.org/officeDocument/2006/relationships/hyperlink" Target="https://pl.wikipedia.org/wiki/Kalisz" TargetMode="External"/><Relationship Id="rId8" Type="http://schemas.openxmlformats.org/officeDocument/2006/relationships/hyperlink" Target="https://pl.wikipedia.org/wiki/Ch%C5%82opskie_Stronnictwo_Radykalne" TargetMode="External"/><Relationship Id="rId144" Type="http://schemas.openxmlformats.org/officeDocument/2006/relationships/hyperlink" Target="https://pl.wikipedia.org/wiki/Pozna%C5%84" TargetMode="External"/><Relationship Id="rId265" Type="http://schemas.openxmlformats.org/officeDocument/2006/relationships/hyperlink" Target="https://pl.wikipedia.org/wiki/%C5%81%C3%B3d%C5%BA" TargetMode="External"/><Relationship Id="rId386" Type="http://schemas.openxmlformats.org/officeDocument/2006/relationships/hyperlink" Target="https://pl.wikipedia.org/wiki/%C5%81owicz" TargetMode="External"/><Relationship Id="rId260" Type="http://schemas.openxmlformats.org/officeDocument/2006/relationships/hyperlink" Target="https://pl.wikipedia.org/wiki/P%C5%82ock" TargetMode="External"/><Relationship Id="rId381" Type="http://schemas.openxmlformats.org/officeDocument/2006/relationships/hyperlink" Target="https://pl.wikipedia.org/wiki/%C5%81%C3%B3d%C5%BA" TargetMode="External"/><Relationship Id="rId380" Type="http://schemas.openxmlformats.org/officeDocument/2006/relationships/hyperlink" Target="https://pl.wikipedia.org/wiki/P%C5%82ock" TargetMode="External"/><Relationship Id="rId139" Type="http://schemas.openxmlformats.org/officeDocument/2006/relationships/hyperlink" Target="https://pl.wikipedia.org/wiki/Pozna%C5%84" TargetMode="External"/><Relationship Id="rId138" Type="http://schemas.openxmlformats.org/officeDocument/2006/relationships/hyperlink" Target="https://pl.wikipedia.org/wiki/Gniezno" TargetMode="External"/><Relationship Id="rId259" Type="http://schemas.openxmlformats.org/officeDocument/2006/relationships/hyperlink" Target="https://pl.wikipedia.org/wiki/Ciechan%C3%B3w" TargetMode="External"/><Relationship Id="rId137" Type="http://schemas.openxmlformats.org/officeDocument/2006/relationships/hyperlink" Target="https://pl.wikipedia.org/wiki/Gniezno" TargetMode="External"/><Relationship Id="rId258" Type="http://schemas.openxmlformats.org/officeDocument/2006/relationships/hyperlink" Target="https://pl.wikipedia.org/wiki/%C5%81om%C5%BCa" TargetMode="External"/><Relationship Id="rId379" Type="http://schemas.openxmlformats.org/officeDocument/2006/relationships/hyperlink" Target="https://pl.wikipedia.org/wiki/Lublin" TargetMode="External"/><Relationship Id="rId132" Type="http://schemas.openxmlformats.org/officeDocument/2006/relationships/hyperlink" Target="https://pl.wikipedia.org/wiki/Toru%C5%84" TargetMode="External"/><Relationship Id="rId253" Type="http://schemas.openxmlformats.org/officeDocument/2006/relationships/hyperlink" Target="https://pl.wikipedia.org/wiki/Siedlce" TargetMode="External"/><Relationship Id="rId374" Type="http://schemas.openxmlformats.org/officeDocument/2006/relationships/hyperlink" Target="https://pl.wikipedia.org/wiki/%C5%81om%C5%BCa" TargetMode="External"/><Relationship Id="rId495" Type="http://schemas.openxmlformats.org/officeDocument/2006/relationships/hyperlink" Target="https://pl.wikipedia.org/wiki/Polskie_Stronnictwo_Ludowe_%E2%80%93_Lewica" TargetMode="External"/><Relationship Id="rId131" Type="http://schemas.openxmlformats.org/officeDocument/2006/relationships/hyperlink" Target="https://pl.wikipedia.org/wiki/Toru%C5%84" TargetMode="External"/><Relationship Id="rId252" Type="http://schemas.openxmlformats.org/officeDocument/2006/relationships/hyperlink" Target="https://pl.wikipedia.org/wiki/Warszawa" TargetMode="External"/><Relationship Id="rId373" Type="http://schemas.openxmlformats.org/officeDocument/2006/relationships/hyperlink" Target="https://pl.wikipedia.org/wiki/%C5%81uk%C3%B3w" TargetMode="External"/><Relationship Id="rId494" Type="http://schemas.openxmlformats.org/officeDocument/2006/relationships/hyperlink" Target="https://pl.wikipedia.org/wiki/Bund_(partia)" TargetMode="External"/><Relationship Id="rId130" Type="http://schemas.openxmlformats.org/officeDocument/2006/relationships/hyperlink" Target="https://pl.wikipedia.org/wiki/Toru%C5%84" TargetMode="External"/><Relationship Id="rId251" Type="http://schemas.openxmlformats.org/officeDocument/2006/relationships/hyperlink" Target="https://pl.wikipedia.org/wiki/Warszawa" TargetMode="External"/><Relationship Id="rId372" Type="http://schemas.openxmlformats.org/officeDocument/2006/relationships/hyperlink" Target="https://pl.wikipedia.org/wiki/%C5%81owicz" TargetMode="External"/><Relationship Id="rId493" Type="http://schemas.openxmlformats.org/officeDocument/2006/relationships/hyperlink" Target="https://pl.wikipedia.org/wiki/Ch%C5%82opskie_Stronnictwo_Radykalne" TargetMode="External"/><Relationship Id="rId250" Type="http://schemas.openxmlformats.org/officeDocument/2006/relationships/hyperlink" Target="https://pl.wikipedia.org/wiki/Fo%C5%82ks-Partaj" TargetMode="External"/><Relationship Id="rId371" Type="http://schemas.openxmlformats.org/officeDocument/2006/relationships/hyperlink" Target="https://pl.wikipedia.org/wiki/Grodno" TargetMode="External"/><Relationship Id="rId492" Type="http://schemas.openxmlformats.org/officeDocument/2006/relationships/hyperlink" Target="https://pl.wikipedia.org/wiki/Komunistyczna_Partia_Polski" TargetMode="External"/><Relationship Id="rId136" Type="http://schemas.openxmlformats.org/officeDocument/2006/relationships/hyperlink" Target="https://pl.wikipedia.org/wiki/Gniezno" TargetMode="External"/><Relationship Id="rId257" Type="http://schemas.openxmlformats.org/officeDocument/2006/relationships/hyperlink" Target="https://pl.wikipedia.org/wiki/Grodno" TargetMode="External"/><Relationship Id="rId378" Type="http://schemas.openxmlformats.org/officeDocument/2006/relationships/hyperlink" Target="https://pl.wikipedia.org/wiki/%C5%81%C3%B3d%C5%BA" TargetMode="External"/><Relationship Id="rId499" Type="http://schemas.openxmlformats.org/officeDocument/2006/relationships/hyperlink" Target="https://pl.wikipedia.org/wiki/Rzesz%C3%B3w" TargetMode="External"/><Relationship Id="rId135" Type="http://schemas.openxmlformats.org/officeDocument/2006/relationships/hyperlink" Target="https://pl.wikipedia.org/wiki/Bydgoszcz" TargetMode="External"/><Relationship Id="rId256" Type="http://schemas.openxmlformats.org/officeDocument/2006/relationships/hyperlink" Target="https://pl.wikipedia.org/wiki/Fo%C5%82ks-Partaj" TargetMode="External"/><Relationship Id="rId377" Type="http://schemas.openxmlformats.org/officeDocument/2006/relationships/hyperlink" Target="https://pl.wikipedia.org/wiki/Ciechan%C3%B3w" TargetMode="External"/><Relationship Id="rId498" Type="http://schemas.openxmlformats.org/officeDocument/2006/relationships/hyperlink" Target="https://pl.wikipedia.org/wiki/Jas%C5%82o" TargetMode="External"/><Relationship Id="rId134" Type="http://schemas.openxmlformats.org/officeDocument/2006/relationships/hyperlink" Target="https://pl.wikipedia.org/wiki/Bydgoszcz" TargetMode="External"/><Relationship Id="rId255" Type="http://schemas.openxmlformats.org/officeDocument/2006/relationships/hyperlink" Target="https://pl.wikipedia.org/wiki/Bia%C5%82ystok" TargetMode="External"/><Relationship Id="rId376" Type="http://schemas.openxmlformats.org/officeDocument/2006/relationships/hyperlink" Target="https://pl.wikipedia.org/wiki/Bia%C5%82a_Podlaska" TargetMode="External"/><Relationship Id="rId497" Type="http://schemas.openxmlformats.org/officeDocument/2006/relationships/hyperlink" Target="https://pl.wikipedia.org/wiki/Tarn%C3%B3w" TargetMode="External"/><Relationship Id="rId133" Type="http://schemas.openxmlformats.org/officeDocument/2006/relationships/hyperlink" Target="https://pl.wikipedia.org/wiki/Bydgoszcz" TargetMode="External"/><Relationship Id="rId254" Type="http://schemas.openxmlformats.org/officeDocument/2006/relationships/hyperlink" Target="https://pl.wikipedia.org/wiki/Ostr%C3%B3w_Mazowiecka" TargetMode="External"/><Relationship Id="rId375" Type="http://schemas.openxmlformats.org/officeDocument/2006/relationships/hyperlink" Target="https://pl.wikipedia.org/wiki/Grodzisk_Mazowiecki" TargetMode="External"/><Relationship Id="rId496" Type="http://schemas.openxmlformats.org/officeDocument/2006/relationships/hyperlink" Target="https://pl.wikipedia.org/wiki/Fo%C5%82ks-Partaj" TargetMode="External"/><Relationship Id="rId172" Type="http://schemas.openxmlformats.org/officeDocument/2006/relationships/hyperlink" Target="https://pl.wikipedia.org/wiki/Nowy_S%C4%85cz" TargetMode="External"/><Relationship Id="rId293" Type="http://schemas.openxmlformats.org/officeDocument/2006/relationships/hyperlink" Target="https://pl.wikipedia.org/wiki/Wybory_parlamentarne_w_Polsce_w_1922_roku" TargetMode="External"/><Relationship Id="rId171" Type="http://schemas.openxmlformats.org/officeDocument/2006/relationships/hyperlink" Target="https://pl.wikipedia.org/wiki/Nowy_S%C4%85cz" TargetMode="External"/><Relationship Id="rId292" Type="http://schemas.openxmlformats.org/officeDocument/2006/relationships/hyperlink" Target="https://pl.wikipedia.org/wiki/Szamotu%C5%82y" TargetMode="External"/><Relationship Id="rId170" Type="http://schemas.openxmlformats.org/officeDocument/2006/relationships/hyperlink" Target="https://pl.wikipedia.org/wiki/Nowy_S%C4%85cz" TargetMode="External"/><Relationship Id="rId291" Type="http://schemas.openxmlformats.org/officeDocument/2006/relationships/hyperlink" Target="https://pl.wikipedia.org/wiki/Pozna%C5%84" TargetMode="External"/><Relationship Id="rId290" Type="http://schemas.openxmlformats.org/officeDocument/2006/relationships/hyperlink" Target="https://pl.wikipedia.org/wiki/Pozna%C5%84" TargetMode="External"/><Relationship Id="rId165" Type="http://schemas.openxmlformats.org/officeDocument/2006/relationships/hyperlink" Target="https://pl.wikipedia.org/wiki/Krak%C3%B3w" TargetMode="External"/><Relationship Id="rId286" Type="http://schemas.openxmlformats.org/officeDocument/2006/relationships/hyperlink" Target="https://pl.wikipedia.org/wiki/Bydgoszcz" TargetMode="External"/><Relationship Id="rId164" Type="http://schemas.openxmlformats.org/officeDocument/2006/relationships/hyperlink" Target="https://pl.wikipedia.org/wiki/Wybory_parlamentarne_w_Polsce_w_1922_roku" TargetMode="External"/><Relationship Id="rId285" Type="http://schemas.openxmlformats.org/officeDocument/2006/relationships/hyperlink" Target="https://pl.wikipedia.org/wiki/Toru%C5%84" TargetMode="External"/><Relationship Id="rId163" Type="http://schemas.openxmlformats.org/officeDocument/2006/relationships/hyperlink" Target="https://pl.wikipedia.org/wiki/Krak%C3%B3w" TargetMode="External"/><Relationship Id="rId284" Type="http://schemas.openxmlformats.org/officeDocument/2006/relationships/hyperlink" Target="https://pl.wikipedia.org/wiki/Grudzi%C4%85dz" TargetMode="External"/><Relationship Id="rId162" Type="http://schemas.openxmlformats.org/officeDocument/2006/relationships/hyperlink" Target="https://pl.wikipedia.org/wiki/Krak%C3%B3w" TargetMode="External"/><Relationship Id="rId283" Type="http://schemas.openxmlformats.org/officeDocument/2006/relationships/hyperlink" Target="https://pl.wikipedia.org/wiki/Tczew" TargetMode="External"/><Relationship Id="rId169" Type="http://schemas.openxmlformats.org/officeDocument/2006/relationships/hyperlink" Target="https://pl.wikipedia.org/wiki/Wadowice" TargetMode="External"/><Relationship Id="rId168" Type="http://schemas.openxmlformats.org/officeDocument/2006/relationships/hyperlink" Target="https://pl.wikipedia.org/wiki/Wadowice" TargetMode="External"/><Relationship Id="rId289" Type="http://schemas.openxmlformats.org/officeDocument/2006/relationships/hyperlink" Target="https://pl.wikipedia.org/wiki/Unia_Narodowo-Pa%C5%84stwowa" TargetMode="External"/><Relationship Id="rId167" Type="http://schemas.openxmlformats.org/officeDocument/2006/relationships/hyperlink" Target="https://pl.wikipedia.org/wiki/Wadowice" TargetMode="External"/><Relationship Id="rId288" Type="http://schemas.openxmlformats.org/officeDocument/2006/relationships/hyperlink" Target="https://pl.wikipedia.org/wiki/Gniezno" TargetMode="External"/><Relationship Id="rId166" Type="http://schemas.openxmlformats.org/officeDocument/2006/relationships/hyperlink" Target="https://pl.wikipedia.org/wiki/Krak%C3%B3w" TargetMode="External"/><Relationship Id="rId287" Type="http://schemas.openxmlformats.org/officeDocument/2006/relationships/hyperlink" Target="https://pl.wikipedia.org/wiki/Zwi%C4%85zek_Rad_Ludowych" TargetMode="External"/><Relationship Id="rId161" Type="http://schemas.openxmlformats.org/officeDocument/2006/relationships/hyperlink" Target="https://pl.wikipedia.org/wiki/Krak%C3%B3w" TargetMode="External"/><Relationship Id="rId282" Type="http://schemas.openxmlformats.org/officeDocument/2006/relationships/hyperlink" Target="https://pl.wikipedia.org/wiki/Krasnystaw" TargetMode="External"/><Relationship Id="rId160" Type="http://schemas.openxmlformats.org/officeDocument/2006/relationships/hyperlink" Target="https://pl.wikipedia.org/wiki/Krak%C3%B3w" TargetMode="External"/><Relationship Id="rId281" Type="http://schemas.openxmlformats.org/officeDocument/2006/relationships/hyperlink" Target="https://pl.wikipedia.org/wiki/Zamo%C5%9B%C4%87" TargetMode="External"/><Relationship Id="rId280" Type="http://schemas.openxmlformats.org/officeDocument/2006/relationships/hyperlink" Target="https://pl.wikipedia.org/wiki/Chrze%C5%9Bcija%C5%84ski_Zwi%C4%85zek_Jedno%C5%9Bci_Narodowej" TargetMode="External"/><Relationship Id="rId159" Type="http://schemas.openxmlformats.org/officeDocument/2006/relationships/hyperlink" Target="https://pl.wikipedia.org/wiki/Cieszyn" TargetMode="External"/><Relationship Id="rId154" Type="http://schemas.openxmlformats.org/officeDocument/2006/relationships/hyperlink" Target="https://pl.wikipedia.org/wiki/Katowice" TargetMode="External"/><Relationship Id="rId275" Type="http://schemas.openxmlformats.org/officeDocument/2006/relationships/hyperlink" Target="https://pl.wikipedia.org/wiki/%C5%81uk%C3%B3w" TargetMode="External"/><Relationship Id="rId396" Type="http://schemas.openxmlformats.org/officeDocument/2006/relationships/hyperlink" Target="https://pl.wikipedia.org/wiki/Radom" TargetMode="External"/><Relationship Id="rId153" Type="http://schemas.openxmlformats.org/officeDocument/2006/relationships/hyperlink" Target="https://pl.wikipedia.org/wiki/Chorz%C3%B3w" TargetMode="External"/><Relationship Id="rId274" Type="http://schemas.openxmlformats.org/officeDocument/2006/relationships/hyperlink" Target="https://pl.wikipedia.org/wiki/Wierzbnik_(Starachowice)" TargetMode="External"/><Relationship Id="rId395" Type="http://schemas.openxmlformats.org/officeDocument/2006/relationships/hyperlink" Target="https://pl.wikipedia.org/wiki/%C5%81%C3%B3d%C5%BA" TargetMode="External"/><Relationship Id="rId152" Type="http://schemas.openxmlformats.org/officeDocument/2006/relationships/hyperlink" Target="https://pl.wikipedia.org/wiki/Chorz%C3%B3w" TargetMode="External"/><Relationship Id="rId273" Type="http://schemas.openxmlformats.org/officeDocument/2006/relationships/hyperlink" Target="https://pl.wikipedia.org/wiki/Sandomierz" TargetMode="External"/><Relationship Id="rId394" Type="http://schemas.openxmlformats.org/officeDocument/2006/relationships/hyperlink" Target="https://pl.wikipedia.org/wiki/Przemy%C5%9Bl" TargetMode="External"/><Relationship Id="rId151" Type="http://schemas.openxmlformats.org/officeDocument/2006/relationships/hyperlink" Target="https://pl.wikipedia.org/wiki/Chorz%C3%B3w" TargetMode="External"/><Relationship Id="rId272" Type="http://schemas.openxmlformats.org/officeDocument/2006/relationships/hyperlink" Target="https://pl.wikipedia.org/wiki/B%C4%99dzin" TargetMode="External"/><Relationship Id="rId393" Type="http://schemas.openxmlformats.org/officeDocument/2006/relationships/hyperlink" Target="https://pl.wikipedia.org/wiki/Piotrk%C3%B3w_Trybunalski" TargetMode="External"/><Relationship Id="rId158" Type="http://schemas.openxmlformats.org/officeDocument/2006/relationships/hyperlink" Target="https://pl.wikipedia.org/wiki/Cieszyn" TargetMode="External"/><Relationship Id="rId279" Type="http://schemas.openxmlformats.org/officeDocument/2006/relationships/hyperlink" Target="https://pl.wikipedia.org/wiki/Lublin" TargetMode="External"/><Relationship Id="rId157" Type="http://schemas.openxmlformats.org/officeDocument/2006/relationships/hyperlink" Target="https://pl.wikipedia.org/wiki/Cieszyn" TargetMode="External"/><Relationship Id="rId278" Type="http://schemas.openxmlformats.org/officeDocument/2006/relationships/hyperlink" Target="https://pl.wikipedia.org/wiki/Blok_Mniejszo%C5%9Bci_Narodowych" TargetMode="External"/><Relationship Id="rId399" Type="http://schemas.openxmlformats.org/officeDocument/2006/relationships/hyperlink" Target="https://pl.wikipedia.org/wiki/Kielce" TargetMode="External"/><Relationship Id="rId156" Type="http://schemas.openxmlformats.org/officeDocument/2006/relationships/hyperlink" Target="https://pl.wikipedia.org/wiki/Katowice" TargetMode="External"/><Relationship Id="rId277" Type="http://schemas.openxmlformats.org/officeDocument/2006/relationships/hyperlink" Target="https://pl.wikipedia.org/wiki/Bia%C5%82a_Podlaska" TargetMode="External"/><Relationship Id="rId398" Type="http://schemas.openxmlformats.org/officeDocument/2006/relationships/hyperlink" Target="https://pl.wikipedia.org/wiki/Konin" TargetMode="External"/><Relationship Id="rId155" Type="http://schemas.openxmlformats.org/officeDocument/2006/relationships/hyperlink" Target="https://pl.wikipedia.org/wiki/Katowice" TargetMode="External"/><Relationship Id="rId276" Type="http://schemas.openxmlformats.org/officeDocument/2006/relationships/hyperlink" Target="https://pl.wikipedia.org/wiki/Chrze%C5%9Bcija%C5%84ski_Zwi%C4%85zek_Jedno%C5%9Bci_Narodowej" TargetMode="External"/><Relationship Id="rId397" Type="http://schemas.openxmlformats.org/officeDocument/2006/relationships/hyperlink" Target="https://pl.wikipedia.org/wiki/Sambor_(miasto)" TargetMode="External"/><Relationship Id="rId40" Type="http://schemas.openxmlformats.org/officeDocument/2006/relationships/hyperlink" Target="https://pl.wikipedia.org/wiki/Warszawa" TargetMode="External"/><Relationship Id="rId42" Type="http://schemas.openxmlformats.org/officeDocument/2006/relationships/hyperlink" Target="https://pl.wikipedia.org/wiki/Wybory_parlamentarne_w_Polsce_w_1922_roku" TargetMode="External"/><Relationship Id="rId41" Type="http://schemas.openxmlformats.org/officeDocument/2006/relationships/hyperlink" Target="https://pl.wikipedia.org/wiki/Warszawa" TargetMode="External"/><Relationship Id="rId44" Type="http://schemas.openxmlformats.org/officeDocument/2006/relationships/hyperlink" Target="https://pl.wikipedia.org/wiki/Warszawa" TargetMode="External"/><Relationship Id="rId43" Type="http://schemas.openxmlformats.org/officeDocument/2006/relationships/hyperlink" Target="https://pl.wikipedia.org/wiki/Warszawa" TargetMode="External"/><Relationship Id="rId46" Type="http://schemas.openxmlformats.org/officeDocument/2006/relationships/hyperlink" Target="https://pl.wikipedia.org/wiki/Siedlce" TargetMode="External"/><Relationship Id="rId45" Type="http://schemas.openxmlformats.org/officeDocument/2006/relationships/hyperlink" Target="https://pl.wikipedia.org/wiki/Siedlce" TargetMode="External"/><Relationship Id="rId509" Type="http://schemas.openxmlformats.org/officeDocument/2006/relationships/hyperlink" Target="https://pl.wikipedia.org/wiki/Polskie_Stronnictwo_Ludowe_%E2%80%9EPiast%E2%80%9D_(1913%E2%80%931931)" TargetMode="External"/><Relationship Id="rId508" Type="http://schemas.openxmlformats.org/officeDocument/2006/relationships/hyperlink" Target="https://pl.wikipedia.org/wiki/Blok_Mniejszo%C5%9Bci_Narodowych" TargetMode="External"/><Relationship Id="rId503" Type="http://schemas.openxmlformats.org/officeDocument/2006/relationships/hyperlink" Target="https://pl.wikipedia.org/wiki/%C5%BB%C3%B3%C5%82kiew" TargetMode="External"/><Relationship Id="rId502" Type="http://schemas.openxmlformats.org/officeDocument/2006/relationships/hyperlink" Target="https://pl.wikipedia.org/wiki/Lw%C3%B3w" TargetMode="External"/><Relationship Id="rId501" Type="http://schemas.openxmlformats.org/officeDocument/2006/relationships/hyperlink" Target="https://pl.wikipedia.org/wiki/Sambor_(miasto)" TargetMode="External"/><Relationship Id="rId500" Type="http://schemas.openxmlformats.org/officeDocument/2006/relationships/hyperlink" Target="https://pl.wikipedia.org/wiki/Przemy%C5%9Bl" TargetMode="External"/><Relationship Id="rId507" Type="http://schemas.openxmlformats.org/officeDocument/2006/relationships/hyperlink" Target="https://pl.wikipedia.org/wiki/Chrze%C5%9Bcija%C5%84ski_Zwi%C4%85zek_Jedno%C5%9Bci_Narodowej" TargetMode="External"/><Relationship Id="rId506" Type="http://schemas.openxmlformats.org/officeDocument/2006/relationships/hyperlink" Target="https://pl.wikipedia.org/wiki/Tarnopol" TargetMode="External"/><Relationship Id="rId505" Type="http://schemas.openxmlformats.org/officeDocument/2006/relationships/hyperlink" Target="https://pl.wikipedia.org/wiki/Iwano-Frankiwsk" TargetMode="External"/><Relationship Id="rId504" Type="http://schemas.openxmlformats.org/officeDocument/2006/relationships/hyperlink" Target="https://pl.wikipedia.org/wiki/Stryj_(miasto)" TargetMode="External"/><Relationship Id="rId48" Type="http://schemas.openxmlformats.org/officeDocument/2006/relationships/hyperlink" Target="https://pl.wikipedia.org/wiki/Ostr%C3%B3w_Mazowiecka" TargetMode="External"/><Relationship Id="rId47" Type="http://schemas.openxmlformats.org/officeDocument/2006/relationships/hyperlink" Target="https://pl.wikipedia.org/wiki/Siedlce" TargetMode="External"/><Relationship Id="rId49" Type="http://schemas.openxmlformats.org/officeDocument/2006/relationships/hyperlink" Target="https://pl.wikipedia.org/wiki/Ostr%C3%B3w_Mazowiecka" TargetMode="External"/><Relationship Id="rId31" Type="http://schemas.openxmlformats.org/officeDocument/2006/relationships/hyperlink" Target="https://pl.wikipedia.org/wiki/Ch%C5%82opskie_Stronnictwo_Radykalne" TargetMode="External"/><Relationship Id="rId30" Type="http://schemas.openxmlformats.org/officeDocument/2006/relationships/hyperlink" Target="https://pl.wikipedia.org/wiki/Komunistyczna_Partia_Polski" TargetMode="External"/><Relationship Id="rId33" Type="http://schemas.openxmlformats.org/officeDocument/2006/relationships/hyperlink" Target="https://pl.wikipedia.org/wiki/Polskie_Stronnictwo_Ludowe_%E2%80%93_Lewica" TargetMode="External"/><Relationship Id="rId32" Type="http://schemas.openxmlformats.org/officeDocument/2006/relationships/hyperlink" Target="https://pl.wikipedia.org/wiki/Bund_(partia)" TargetMode="External"/><Relationship Id="rId35" Type="http://schemas.openxmlformats.org/officeDocument/2006/relationships/hyperlink" Target="https://pl.wikipedia.org/wiki/Blok_Mniejszo%C5%9Bci_Narodowych" TargetMode="External"/><Relationship Id="rId34" Type="http://schemas.openxmlformats.org/officeDocument/2006/relationships/hyperlink" Target="https://pl.wikipedia.org/wiki/Chrze%C5%9Bcija%C5%84ski_Zwi%C4%85zek_Jedno%C5%9Bci_Narodowej" TargetMode="External"/><Relationship Id="rId37" Type="http://schemas.openxmlformats.org/officeDocument/2006/relationships/hyperlink" Target="https://pl.wikipedia.org/wiki/Chrze%C5%9Bcija%C5%84ski_Zwi%C4%85zek_Jedno%C5%9Bci_Narodowej" TargetMode="External"/><Relationship Id="rId36" Type="http://schemas.openxmlformats.org/officeDocument/2006/relationships/hyperlink" Target="https://pl.wikipedia.org/wiki/Fo%C5%82ks-Partaj" TargetMode="External"/><Relationship Id="rId39" Type="http://schemas.openxmlformats.org/officeDocument/2006/relationships/hyperlink" Target="https://pl.wikipedia.org/wiki/Warszawa" TargetMode="External"/><Relationship Id="rId38" Type="http://schemas.openxmlformats.org/officeDocument/2006/relationships/hyperlink" Target="https://pl.wikipedia.org/wiki/Warszawa" TargetMode="External"/><Relationship Id="rId20" Type="http://schemas.openxmlformats.org/officeDocument/2006/relationships/hyperlink" Target="https://pl.wikipedia.org/wiki/Bund_(partia)" TargetMode="External"/><Relationship Id="rId22" Type="http://schemas.openxmlformats.org/officeDocument/2006/relationships/hyperlink" Target="https://pl.wikipedia.org/wiki/Fo%C5%82ks-Partaj" TargetMode="External"/><Relationship Id="rId21" Type="http://schemas.openxmlformats.org/officeDocument/2006/relationships/hyperlink" Target="https://pl.wikipedia.org/wiki/Polskie_Stronnictwo_Ludowe_%E2%80%93_Lewica" TargetMode="External"/><Relationship Id="rId24" Type="http://schemas.openxmlformats.org/officeDocument/2006/relationships/hyperlink" Target="https://pl.wikipedia.org/wiki/Blok_Mniejszo%C5%9Bci_Narodowych" TargetMode="External"/><Relationship Id="rId23" Type="http://schemas.openxmlformats.org/officeDocument/2006/relationships/hyperlink" Target="https://pl.wikipedia.org/wiki/Chrze%C5%9Bcija%C5%84ski_Zwi%C4%85zek_Jedno%C5%9Bci_Narodowej" TargetMode="External"/><Relationship Id="rId409" Type="http://schemas.openxmlformats.org/officeDocument/2006/relationships/hyperlink" Target="https://pl.wikipedia.org/wiki/Iwano-Frankiwsk" TargetMode="External"/><Relationship Id="rId404" Type="http://schemas.openxmlformats.org/officeDocument/2006/relationships/hyperlink" Target="https://pl.wikipedia.org/wiki/Cz%C4%99stochowa" TargetMode="External"/><Relationship Id="rId525" Type="http://schemas.openxmlformats.org/officeDocument/2006/relationships/hyperlink" Target="https://pl.wikipedia.org/wiki/Lida" TargetMode="External"/><Relationship Id="rId403" Type="http://schemas.openxmlformats.org/officeDocument/2006/relationships/hyperlink" Target="https://pl.wikipedia.org/wiki/%C5%BB%C3%B3%C5%82kiew" TargetMode="External"/><Relationship Id="rId524" Type="http://schemas.openxmlformats.org/officeDocument/2006/relationships/hyperlink" Target="https://pl.wikipedia.org/wiki/Nowogr%C3%B3dek" TargetMode="External"/><Relationship Id="rId402" Type="http://schemas.openxmlformats.org/officeDocument/2006/relationships/hyperlink" Target="https://pl.wikipedia.org/wiki/B%C4%99dzin" TargetMode="External"/><Relationship Id="rId523" Type="http://schemas.openxmlformats.org/officeDocument/2006/relationships/hyperlink" Target="https://pl.wikipedia.org/wiki/Pi%C5%84sk" TargetMode="External"/><Relationship Id="rId401" Type="http://schemas.openxmlformats.org/officeDocument/2006/relationships/hyperlink" Target="https://pl.wikipedia.org/wiki/Kalisz" TargetMode="External"/><Relationship Id="rId522" Type="http://schemas.openxmlformats.org/officeDocument/2006/relationships/hyperlink" Target="https://pl.wikipedia.org/wiki/Kos%C3%B3w_(Bia%C5%82oru%C5%9B)" TargetMode="External"/><Relationship Id="rId408" Type="http://schemas.openxmlformats.org/officeDocument/2006/relationships/hyperlink" Target="https://pl.wikipedia.org/wiki/Wierzbnik_(Starachowice)" TargetMode="External"/><Relationship Id="rId529" Type="http://schemas.openxmlformats.org/officeDocument/2006/relationships/hyperlink" Target="https://pl.wikipedia.org/wiki/Wilno" TargetMode="External"/><Relationship Id="rId407" Type="http://schemas.openxmlformats.org/officeDocument/2006/relationships/hyperlink" Target="https://pl.wikipedia.org/wiki/Piotrk%C3%B3w_Trybunalski" TargetMode="External"/><Relationship Id="rId528" Type="http://schemas.openxmlformats.org/officeDocument/2006/relationships/hyperlink" Target="https://pl.wikipedia.org/wiki/Chrze%C5%9Bcija%C5%84ski_Zwi%C4%85zek_Jedno%C5%9Bci_Narodowej" TargetMode="External"/><Relationship Id="rId406" Type="http://schemas.openxmlformats.org/officeDocument/2006/relationships/hyperlink" Target="https://pl.wikipedia.org/wiki/Stryj_(miasto)" TargetMode="External"/><Relationship Id="rId527" Type="http://schemas.openxmlformats.org/officeDocument/2006/relationships/hyperlink" Target="https://pl.wikipedia.org/wiki/Chrze%C5%9Bcija%C5%84ski_Zwi%C4%85zek_Jedno%C5%9Bci_Narodowej" TargetMode="External"/><Relationship Id="rId405" Type="http://schemas.openxmlformats.org/officeDocument/2006/relationships/hyperlink" Target="https://pl.wikipedia.org/wiki/Sandomierz" TargetMode="External"/><Relationship Id="rId526" Type="http://schemas.openxmlformats.org/officeDocument/2006/relationships/hyperlink" Target="https://pl.wikipedia.org/wiki/Chrze%C5%9Bcija%C5%84ski_Zwi%C4%85zek_Jedno%C5%9Bci_Narodowej" TargetMode="External"/><Relationship Id="rId26" Type="http://schemas.openxmlformats.org/officeDocument/2006/relationships/hyperlink" Target="https://pl.wikipedia.org/wiki/Polskie_Stronnictwo_Ludowe_%E2%80%9EPiast%E2%80%9D_(1913%E2%80%931931)" TargetMode="External"/><Relationship Id="rId25" Type="http://schemas.openxmlformats.org/officeDocument/2006/relationships/hyperlink" Target="https://pl.wikipedia.org/wiki/Fo%C5%82ks-Partaj" TargetMode="External"/><Relationship Id="rId28" Type="http://schemas.openxmlformats.org/officeDocument/2006/relationships/hyperlink" Target="https://pl.wikipedia.org/wiki/Polska_Partia_Socjalistyczna" TargetMode="External"/><Relationship Id="rId27" Type="http://schemas.openxmlformats.org/officeDocument/2006/relationships/hyperlink" Target="https://pl.wikipedia.org/wiki/Polskie_Stronnictwo_Ludowe_%E2%80%9EWyzwolenie%E2%80%9D" TargetMode="External"/><Relationship Id="rId400" Type="http://schemas.openxmlformats.org/officeDocument/2006/relationships/hyperlink" Target="https://pl.wikipedia.org/wiki/Lw%C3%B3w" TargetMode="External"/><Relationship Id="rId521" Type="http://schemas.openxmlformats.org/officeDocument/2006/relationships/hyperlink" Target="https://pl.wikipedia.org/wiki/Krzemieniec_(miasto)" TargetMode="External"/><Relationship Id="rId29" Type="http://schemas.openxmlformats.org/officeDocument/2006/relationships/hyperlink" Target="https://pl.wikipedia.org/wiki/Narodowa_Partia_Robotnicza" TargetMode="External"/><Relationship Id="rId520" Type="http://schemas.openxmlformats.org/officeDocument/2006/relationships/hyperlink" Target="https://pl.wikipedia.org/wiki/%C5%81uck" TargetMode="External"/><Relationship Id="rId11" Type="http://schemas.openxmlformats.org/officeDocument/2006/relationships/hyperlink" Target="https://pl.wikipedia.org/wiki/Fo%C5%82ks-Partaj" TargetMode="External"/><Relationship Id="rId10" Type="http://schemas.openxmlformats.org/officeDocument/2006/relationships/hyperlink" Target="https://pl.wikipedia.org/wiki/Polskie_Stronnictwo_Ludowe_%E2%80%93_Lewica" TargetMode="External"/><Relationship Id="rId13" Type="http://schemas.openxmlformats.org/officeDocument/2006/relationships/hyperlink" Target="https://pl.wikipedia.org/wiki/Blok_Mniejszo%C5%9Bci_Narodowych" TargetMode="External"/><Relationship Id="rId12" Type="http://schemas.openxmlformats.org/officeDocument/2006/relationships/hyperlink" Target="https://pl.wikipedia.org/wiki/Chrze%C5%9Bcija%C5%84ski_Zwi%C4%85zek_Jedno%C5%9Bci_Narodowej" TargetMode="External"/><Relationship Id="rId519" Type="http://schemas.openxmlformats.org/officeDocument/2006/relationships/hyperlink" Target="https://pl.wikipedia.org/wiki/Kowel" TargetMode="External"/><Relationship Id="rId514" Type="http://schemas.openxmlformats.org/officeDocument/2006/relationships/hyperlink" Target="https://pl.wikipedia.org/wiki/Ch%C5%82opskie_Stronnictwo_Radykalne" TargetMode="External"/><Relationship Id="rId513" Type="http://schemas.openxmlformats.org/officeDocument/2006/relationships/hyperlink" Target="https://pl.wikipedia.org/wiki/Komunistyczna_Partia_Polski" TargetMode="External"/><Relationship Id="rId512" Type="http://schemas.openxmlformats.org/officeDocument/2006/relationships/hyperlink" Target="https://pl.wikipedia.org/wiki/Narodowa_Partia_Robotnicza" TargetMode="External"/><Relationship Id="rId511" Type="http://schemas.openxmlformats.org/officeDocument/2006/relationships/hyperlink" Target="https://pl.wikipedia.org/wiki/Polska_Partia_Socjalistyczna" TargetMode="External"/><Relationship Id="rId518" Type="http://schemas.openxmlformats.org/officeDocument/2006/relationships/hyperlink" Target="https://pl.wikipedia.org/wiki/Z%C5%82ocz%C3%B3w" TargetMode="External"/><Relationship Id="rId517" Type="http://schemas.openxmlformats.org/officeDocument/2006/relationships/hyperlink" Target="https://pl.wikipedia.org/wiki/Fo%C5%82ks-Partaj" TargetMode="External"/><Relationship Id="rId516" Type="http://schemas.openxmlformats.org/officeDocument/2006/relationships/hyperlink" Target="https://pl.wikipedia.org/wiki/Polskie_Stronnictwo_Ludowe_%E2%80%93_Lewica" TargetMode="External"/><Relationship Id="rId515" Type="http://schemas.openxmlformats.org/officeDocument/2006/relationships/hyperlink" Target="https://pl.wikipedia.org/wiki/Bund_(partia)" TargetMode="External"/><Relationship Id="rId15" Type="http://schemas.openxmlformats.org/officeDocument/2006/relationships/hyperlink" Target="https://pl.wikipedia.org/wiki/Polskie_Stronnictwo_Ludowe_%E2%80%9EWyzwolenie%E2%80%9D" TargetMode="External"/><Relationship Id="rId14" Type="http://schemas.openxmlformats.org/officeDocument/2006/relationships/hyperlink" Target="https://pl.wikipedia.org/wiki/Polskie_Stronnictwo_Ludowe_%E2%80%9EPiast%E2%80%9D_(1913%E2%80%931931)" TargetMode="External"/><Relationship Id="rId17" Type="http://schemas.openxmlformats.org/officeDocument/2006/relationships/hyperlink" Target="https://pl.wikipedia.org/wiki/Narodowa_Partia_Robotnicza" TargetMode="External"/><Relationship Id="rId16" Type="http://schemas.openxmlformats.org/officeDocument/2006/relationships/hyperlink" Target="https://pl.wikipedia.org/wiki/Polska_Partia_Socjalistyczna" TargetMode="External"/><Relationship Id="rId19" Type="http://schemas.openxmlformats.org/officeDocument/2006/relationships/hyperlink" Target="https://pl.wikipedia.org/wiki/Ch%C5%82opskie_Stronnictwo_Radykalne" TargetMode="External"/><Relationship Id="rId510" Type="http://schemas.openxmlformats.org/officeDocument/2006/relationships/hyperlink" Target="https://pl.wikipedia.org/wiki/Polskie_Stronnictwo_Ludowe_%E2%80%9EWyzwolenie%E2%80%9D" TargetMode="External"/><Relationship Id="rId18" Type="http://schemas.openxmlformats.org/officeDocument/2006/relationships/hyperlink" Target="https://pl.wikipedia.org/wiki/Komunistyczna_Partia_Polski" TargetMode="External"/><Relationship Id="rId84" Type="http://schemas.openxmlformats.org/officeDocument/2006/relationships/hyperlink" Target="https://pl.wikipedia.org/wiki/Konin" TargetMode="External"/><Relationship Id="rId83" Type="http://schemas.openxmlformats.org/officeDocument/2006/relationships/hyperlink" Target="https://pl.wikipedia.org/wiki/Konin" TargetMode="External"/><Relationship Id="rId86" Type="http://schemas.openxmlformats.org/officeDocument/2006/relationships/hyperlink" Target="https://pl.wikipedia.org/wiki/Kalisz" TargetMode="External"/><Relationship Id="rId85" Type="http://schemas.openxmlformats.org/officeDocument/2006/relationships/hyperlink" Target="https://pl.wikipedia.org/wiki/Kalisz" TargetMode="External"/><Relationship Id="rId88" Type="http://schemas.openxmlformats.org/officeDocument/2006/relationships/hyperlink" Target="https://pl.wikipedia.org/wiki/Cz%C4%99stochowa" TargetMode="External"/><Relationship Id="rId87" Type="http://schemas.openxmlformats.org/officeDocument/2006/relationships/hyperlink" Target="https://pl.wikipedia.org/wiki/Kalisz" TargetMode="External"/><Relationship Id="rId89" Type="http://schemas.openxmlformats.org/officeDocument/2006/relationships/hyperlink" Target="https://pl.wikipedia.org/wiki/Cz%C4%99stochowa" TargetMode="External"/><Relationship Id="rId80" Type="http://schemas.openxmlformats.org/officeDocument/2006/relationships/hyperlink" Target="https://pl.wikipedia.org/wiki/%C5%81%C3%B3d%C5%BA" TargetMode="External"/><Relationship Id="rId82" Type="http://schemas.openxmlformats.org/officeDocument/2006/relationships/hyperlink" Target="https://pl.wikipedia.org/wiki/Konin" TargetMode="External"/><Relationship Id="rId81" Type="http://schemas.openxmlformats.org/officeDocument/2006/relationships/hyperlink" Target="https://pl.wikipedia.org/wiki/%C5%81%C3%B3d%C5%BA" TargetMode="External"/><Relationship Id="rId73" Type="http://schemas.openxmlformats.org/officeDocument/2006/relationships/hyperlink" Target="https://pl.wikipedia.org/wiki/Grodzisk_Mazowiecki" TargetMode="External"/><Relationship Id="rId72" Type="http://schemas.openxmlformats.org/officeDocument/2006/relationships/hyperlink" Target="https://pl.wikipedia.org/wiki/Grodzisk_Mazowiecki" TargetMode="External"/><Relationship Id="rId75" Type="http://schemas.openxmlformats.org/officeDocument/2006/relationships/hyperlink" Target="https://pl.wikipedia.org/wiki/%C5%81%C3%B3d%C5%BA" TargetMode="External"/><Relationship Id="rId74" Type="http://schemas.openxmlformats.org/officeDocument/2006/relationships/hyperlink" Target="https://pl.wikipedia.org/wiki/Grodzisk_Mazowiecki" TargetMode="External"/><Relationship Id="rId77" Type="http://schemas.openxmlformats.org/officeDocument/2006/relationships/hyperlink" Target="https://pl.wikipedia.org/wiki/%C5%81%C3%B3d%C5%BA" TargetMode="External"/><Relationship Id="rId76" Type="http://schemas.openxmlformats.org/officeDocument/2006/relationships/hyperlink" Target="https://pl.wikipedia.org/wiki/%C5%81%C3%B3d%C5%BA" TargetMode="External"/><Relationship Id="rId79" Type="http://schemas.openxmlformats.org/officeDocument/2006/relationships/hyperlink" Target="https://pl.wikipedia.org/wiki/Wybory_parlamentarne_w_Polsce_w_1922_roku" TargetMode="External"/><Relationship Id="rId78" Type="http://schemas.openxmlformats.org/officeDocument/2006/relationships/hyperlink" Target="https://pl.wikipedia.org/wiki/%C5%81%C3%B3d%C5%BA" TargetMode="External"/><Relationship Id="rId71" Type="http://schemas.openxmlformats.org/officeDocument/2006/relationships/hyperlink" Target="https://pl.wikipedia.org/wiki/%C5%81owicz" TargetMode="External"/><Relationship Id="rId70" Type="http://schemas.openxmlformats.org/officeDocument/2006/relationships/hyperlink" Target="https://pl.wikipedia.org/wiki/%C5%81owicz" TargetMode="External"/><Relationship Id="rId62" Type="http://schemas.openxmlformats.org/officeDocument/2006/relationships/hyperlink" Target="https://pl.wikipedia.org/wiki/Ciechan%C3%B3w" TargetMode="External"/><Relationship Id="rId61" Type="http://schemas.openxmlformats.org/officeDocument/2006/relationships/hyperlink" Target="https://pl.wikipedia.org/wiki/Ciechan%C3%B3w" TargetMode="External"/><Relationship Id="rId64" Type="http://schemas.openxmlformats.org/officeDocument/2006/relationships/hyperlink" Target="https://pl.wikipedia.org/wiki/P%C5%82ock" TargetMode="External"/><Relationship Id="rId63" Type="http://schemas.openxmlformats.org/officeDocument/2006/relationships/hyperlink" Target="https://pl.wikipedia.org/wiki/P%C5%82ock" TargetMode="External"/><Relationship Id="rId66" Type="http://schemas.openxmlformats.org/officeDocument/2006/relationships/hyperlink" Target="https://pl.wikipedia.org/wiki/W%C5%82oc%C5%82awek" TargetMode="External"/><Relationship Id="rId65" Type="http://schemas.openxmlformats.org/officeDocument/2006/relationships/hyperlink" Target="https://pl.wikipedia.org/wiki/P%C5%82ock" TargetMode="External"/><Relationship Id="rId68" Type="http://schemas.openxmlformats.org/officeDocument/2006/relationships/hyperlink" Target="https://pl.wikipedia.org/wiki/W%C5%82oc%C5%82awek" TargetMode="External"/><Relationship Id="rId67" Type="http://schemas.openxmlformats.org/officeDocument/2006/relationships/hyperlink" Target="https://pl.wikipedia.org/wiki/W%C5%82oc%C5%82awek" TargetMode="External"/><Relationship Id="rId60" Type="http://schemas.openxmlformats.org/officeDocument/2006/relationships/hyperlink" Target="https://pl.wikipedia.org/wiki/Ciechan%C3%B3w" TargetMode="External"/><Relationship Id="rId69" Type="http://schemas.openxmlformats.org/officeDocument/2006/relationships/hyperlink" Target="https://pl.wikipedia.org/wiki/%C5%81owicz" TargetMode="External"/><Relationship Id="rId51" Type="http://schemas.openxmlformats.org/officeDocument/2006/relationships/hyperlink" Target="https://pl.wikipedia.org/wiki/Bia%C5%82ystok" TargetMode="External"/><Relationship Id="rId50" Type="http://schemas.openxmlformats.org/officeDocument/2006/relationships/hyperlink" Target="https://pl.wikipedia.org/wiki/Ostr%C3%B3w_Mazowiecka" TargetMode="External"/><Relationship Id="rId53" Type="http://schemas.openxmlformats.org/officeDocument/2006/relationships/hyperlink" Target="https://pl.wikipedia.org/wiki/Bia%C5%82ystok" TargetMode="External"/><Relationship Id="rId52" Type="http://schemas.openxmlformats.org/officeDocument/2006/relationships/hyperlink" Target="https://pl.wikipedia.org/wiki/Bia%C5%82ystok" TargetMode="External"/><Relationship Id="rId55" Type="http://schemas.openxmlformats.org/officeDocument/2006/relationships/hyperlink" Target="https://pl.wikipedia.org/wiki/Grodno" TargetMode="External"/><Relationship Id="rId54" Type="http://schemas.openxmlformats.org/officeDocument/2006/relationships/hyperlink" Target="https://pl.wikipedia.org/wiki/Grodno" TargetMode="External"/><Relationship Id="rId57" Type="http://schemas.openxmlformats.org/officeDocument/2006/relationships/hyperlink" Target="https://pl.wikipedia.org/wiki/%C5%81om%C5%BCa" TargetMode="External"/><Relationship Id="rId56" Type="http://schemas.openxmlformats.org/officeDocument/2006/relationships/hyperlink" Target="https://pl.wikipedia.org/wiki/Grodno" TargetMode="External"/><Relationship Id="rId59" Type="http://schemas.openxmlformats.org/officeDocument/2006/relationships/hyperlink" Target="https://pl.wikipedia.org/wiki/%C5%81om%C5%BCa" TargetMode="External"/><Relationship Id="rId58" Type="http://schemas.openxmlformats.org/officeDocument/2006/relationships/hyperlink" Target="https://pl.wikipedia.org/wiki/%C5%81om%C5%BCa" TargetMode="External"/><Relationship Id="rId590" Type="http://schemas.openxmlformats.org/officeDocument/2006/relationships/hyperlink" Target="https://pl.wikipedia.org/wiki/Fo%C5%82ks-Partaj" TargetMode="External"/><Relationship Id="rId107" Type="http://schemas.openxmlformats.org/officeDocument/2006/relationships/hyperlink" Target="https://pl.wikipedia.org/wiki/Wierzbnik_(Starachowice)" TargetMode="External"/><Relationship Id="rId228" Type="http://schemas.openxmlformats.org/officeDocument/2006/relationships/hyperlink" Target="https://pl.wikipedia.org/wiki/Wilno" TargetMode="External"/><Relationship Id="rId349" Type="http://schemas.openxmlformats.org/officeDocument/2006/relationships/hyperlink" Target="https://pl.wikipedia.org/wiki/Wybory_parlamentarne_w_Polsce_w_1922_roku" TargetMode="External"/><Relationship Id="rId106" Type="http://schemas.openxmlformats.org/officeDocument/2006/relationships/hyperlink" Target="https://pl.wikipedia.org/wiki/Wierzbnik_(Starachowice)" TargetMode="External"/><Relationship Id="rId227" Type="http://schemas.openxmlformats.org/officeDocument/2006/relationships/hyperlink" Target="https://pl.wikipedia.org/wiki/Lida" TargetMode="External"/><Relationship Id="rId348" Type="http://schemas.openxmlformats.org/officeDocument/2006/relationships/hyperlink" Target="https://pl.wikipedia.org/wiki/Chrze%C5%9Bcija%C5%84ski_Zwi%C4%85zek_Jedno%C5%9Bci_Narodowej" TargetMode="External"/><Relationship Id="rId469" Type="http://schemas.openxmlformats.org/officeDocument/2006/relationships/hyperlink" Target="https://pl.wikipedia.org/wiki/Ch%C5%82opskie_Stronnictwo_Radykalne" TargetMode="External"/><Relationship Id="rId105" Type="http://schemas.openxmlformats.org/officeDocument/2006/relationships/hyperlink" Target="https://pl.wikipedia.org/wiki/Sandomierz" TargetMode="External"/><Relationship Id="rId226" Type="http://schemas.openxmlformats.org/officeDocument/2006/relationships/hyperlink" Target="https://pl.wikipedia.org/wiki/Lida" TargetMode="External"/><Relationship Id="rId347" Type="http://schemas.openxmlformats.org/officeDocument/2006/relationships/hyperlink" Target="https://pl.wikipedia.org/wiki/Wybory_parlamentarne_w_Polsce_w_1922_roku" TargetMode="External"/><Relationship Id="rId468" Type="http://schemas.openxmlformats.org/officeDocument/2006/relationships/hyperlink" Target="https://pl.wikipedia.org/wiki/Komunistyczna_Partia_Polski" TargetMode="External"/><Relationship Id="rId589" Type="http://schemas.openxmlformats.org/officeDocument/2006/relationships/hyperlink" Target="https://pl.wikipedia.org/wiki/Polskie_Stronnictwo_Ludowe_%E2%80%93_Lewica" TargetMode="External"/><Relationship Id="rId104" Type="http://schemas.openxmlformats.org/officeDocument/2006/relationships/hyperlink" Target="https://pl.wikipedia.org/wiki/Sandomierz" TargetMode="External"/><Relationship Id="rId225" Type="http://schemas.openxmlformats.org/officeDocument/2006/relationships/hyperlink" Target="https://pl.wikipedia.org/wiki/Lida" TargetMode="External"/><Relationship Id="rId346" Type="http://schemas.openxmlformats.org/officeDocument/2006/relationships/hyperlink" Target="https://pl.wikipedia.org/wiki/Unia_Narodowo-Pa%C5%84stwowa" TargetMode="External"/><Relationship Id="rId467" Type="http://schemas.openxmlformats.org/officeDocument/2006/relationships/hyperlink" Target="https://pl.wikipedia.org/wiki/Narodowa_Partia_Robotnicza" TargetMode="External"/><Relationship Id="rId588" Type="http://schemas.openxmlformats.org/officeDocument/2006/relationships/hyperlink" Target="https://pl.wikipedia.org/wiki/Bund_(partia)" TargetMode="External"/><Relationship Id="rId109" Type="http://schemas.openxmlformats.org/officeDocument/2006/relationships/hyperlink" Target="https://pl.wikipedia.org/wiki/%C5%81uk%C3%B3w" TargetMode="External"/><Relationship Id="rId108" Type="http://schemas.openxmlformats.org/officeDocument/2006/relationships/hyperlink" Target="https://pl.wikipedia.org/wiki/Wierzbnik_(Starachowice)" TargetMode="External"/><Relationship Id="rId229" Type="http://schemas.openxmlformats.org/officeDocument/2006/relationships/hyperlink" Target="https://pl.wikipedia.org/wiki/Wilno" TargetMode="External"/><Relationship Id="rId220" Type="http://schemas.openxmlformats.org/officeDocument/2006/relationships/hyperlink" Target="https://pl.wikipedia.org/wiki/Pi%C5%84sk" TargetMode="External"/><Relationship Id="rId341" Type="http://schemas.openxmlformats.org/officeDocument/2006/relationships/hyperlink" Target="https://pl.wikipedia.org/wiki/Unia_Narodowo-Pa%C5%84stwowa" TargetMode="External"/><Relationship Id="rId462" Type="http://schemas.openxmlformats.org/officeDocument/2006/relationships/hyperlink" Target="https://pl.wikipedia.org/wiki/Chrze%C5%9Bcija%C5%84ski_Zwi%C4%85zek_Jedno%C5%9Bci_Narodowej" TargetMode="External"/><Relationship Id="rId583" Type="http://schemas.openxmlformats.org/officeDocument/2006/relationships/hyperlink" Target="https://pl.wikipedia.org/wiki/Polskie_Stronnictwo_Ludowe_%E2%80%9EWyzwolenie%E2%80%9D" TargetMode="External"/><Relationship Id="rId340" Type="http://schemas.openxmlformats.org/officeDocument/2006/relationships/hyperlink" Target="https://pl.wikipedia.org/wiki/Bund_(partia)" TargetMode="External"/><Relationship Id="rId461" Type="http://schemas.openxmlformats.org/officeDocument/2006/relationships/hyperlink" Target="https://pl.wikipedia.org/wiki/Krak%C3%B3w" TargetMode="External"/><Relationship Id="rId582" Type="http://schemas.openxmlformats.org/officeDocument/2006/relationships/hyperlink" Target="https://pl.wikipedia.org/wiki/Polskie_Stronnictwo_Ludowe_%E2%80%9EPiast%E2%80%9D_(1913%E2%80%931931)" TargetMode="External"/><Relationship Id="rId460" Type="http://schemas.openxmlformats.org/officeDocument/2006/relationships/hyperlink" Target="https://pl.wikipedia.org/wiki/Krak%C3%B3w" TargetMode="External"/><Relationship Id="rId581" Type="http://schemas.openxmlformats.org/officeDocument/2006/relationships/hyperlink" Target="https://pl.wikipedia.org/wiki/Blok_Mniejszo%C5%9Bci_Narodowych" TargetMode="External"/><Relationship Id="rId580" Type="http://schemas.openxmlformats.org/officeDocument/2006/relationships/hyperlink" Target="https://pl.wikipedia.org/wiki/Chrze%C5%9Bcija%C5%84ski_Zwi%C4%85zek_Jedno%C5%9Bci_Narodowej" TargetMode="External"/><Relationship Id="rId103" Type="http://schemas.openxmlformats.org/officeDocument/2006/relationships/hyperlink" Target="https://pl.wikipedia.org/wiki/Sandomierz" TargetMode="External"/><Relationship Id="rId224" Type="http://schemas.openxmlformats.org/officeDocument/2006/relationships/hyperlink" Target="https://pl.wikipedia.org/wiki/Nowogr%C3%B3dek" TargetMode="External"/><Relationship Id="rId345" Type="http://schemas.openxmlformats.org/officeDocument/2006/relationships/hyperlink" Target="https://pl.wikipedia.org/wiki/Zwi%C4%85zek_Rad_Ludowych" TargetMode="External"/><Relationship Id="rId466" Type="http://schemas.openxmlformats.org/officeDocument/2006/relationships/hyperlink" Target="https://pl.wikipedia.org/wiki/Polska_Partia_Socjalistyczna" TargetMode="External"/><Relationship Id="rId587" Type="http://schemas.openxmlformats.org/officeDocument/2006/relationships/hyperlink" Target="https://pl.wikipedia.org/wiki/Ch%C5%82opskie_Stronnictwo_Radykalne" TargetMode="External"/><Relationship Id="rId102" Type="http://schemas.openxmlformats.org/officeDocument/2006/relationships/hyperlink" Target="https://pl.wikipedia.org/wiki/B%C4%99dzin" TargetMode="External"/><Relationship Id="rId223" Type="http://schemas.openxmlformats.org/officeDocument/2006/relationships/hyperlink" Target="https://pl.wikipedia.org/wiki/Nowogr%C3%B3dek" TargetMode="External"/><Relationship Id="rId344" Type="http://schemas.openxmlformats.org/officeDocument/2006/relationships/hyperlink" Target="https://pl.wikipedia.org/wiki/Wybory_parlamentarne_w_Polsce_w_1922_roku" TargetMode="External"/><Relationship Id="rId465" Type="http://schemas.openxmlformats.org/officeDocument/2006/relationships/hyperlink" Target="https://pl.wikipedia.org/wiki/Polskie_Stronnictwo_Ludowe_%E2%80%9EWyzwolenie%E2%80%9D" TargetMode="External"/><Relationship Id="rId586" Type="http://schemas.openxmlformats.org/officeDocument/2006/relationships/hyperlink" Target="https://pl.wikipedia.org/wiki/Komunistyczna_Partia_Polski" TargetMode="External"/><Relationship Id="rId101" Type="http://schemas.openxmlformats.org/officeDocument/2006/relationships/hyperlink" Target="https://pl.wikipedia.org/wiki/B%C4%99dzin" TargetMode="External"/><Relationship Id="rId222" Type="http://schemas.openxmlformats.org/officeDocument/2006/relationships/hyperlink" Target="https://pl.wikipedia.org/wiki/Nowogr%C3%B3dek" TargetMode="External"/><Relationship Id="rId343" Type="http://schemas.openxmlformats.org/officeDocument/2006/relationships/hyperlink" Target="https://pl.wikipedia.org/wiki/Wybory_parlamentarne_w_Polsce_w_1922_roku" TargetMode="External"/><Relationship Id="rId464" Type="http://schemas.openxmlformats.org/officeDocument/2006/relationships/hyperlink" Target="https://pl.wikipedia.org/wiki/Polskie_Stronnictwo_Ludowe_%E2%80%9EPiast%E2%80%9D_(1913%E2%80%931931)" TargetMode="External"/><Relationship Id="rId585" Type="http://schemas.openxmlformats.org/officeDocument/2006/relationships/hyperlink" Target="https://pl.wikipedia.org/wiki/Narodowa_Partia_Robotnicza" TargetMode="External"/><Relationship Id="rId100" Type="http://schemas.openxmlformats.org/officeDocument/2006/relationships/hyperlink" Target="https://pl.wikipedia.org/wiki/B%C4%99dzin" TargetMode="External"/><Relationship Id="rId221" Type="http://schemas.openxmlformats.org/officeDocument/2006/relationships/hyperlink" Target="https://pl.wikipedia.org/wiki/Pi%C5%84sk" TargetMode="External"/><Relationship Id="rId342" Type="http://schemas.openxmlformats.org/officeDocument/2006/relationships/hyperlink" Target="https://pl.wikipedia.org/wiki/Polskie_Stronnictwo_Ludowe_%E2%80%93_Lewica" TargetMode="External"/><Relationship Id="rId463" Type="http://schemas.openxmlformats.org/officeDocument/2006/relationships/hyperlink" Target="https://pl.wikipedia.org/wiki/Blok_Mniejszo%C5%9Bci_Narodowych" TargetMode="External"/><Relationship Id="rId584" Type="http://schemas.openxmlformats.org/officeDocument/2006/relationships/hyperlink" Target="https://pl.wikipedia.org/wiki/Polska_Partia_Socjalistyczna" TargetMode="External"/><Relationship Id="rId217" Type="http://schemas.openxmlformats.org/officeDocument/2006/relationships/hyperlink" Target="https://pl.wikipedia.org/wiki/Kos%C3%B3w_(Bia%C5%82oru%C5%9B)" TargetMode="External"/><Relationship Id="rId338" Type="http://schemas.openxmlformats.org/officeDocument/2006/relationships/hyperlink" Target="https://pl.wikipedia.org/wiki/Ch%C5%82opskie_Stronnictwo_Radykalne" TargetMode="External"/><Relationship Id="rId459" Type="http://schemas.openxmlformats.org/officeDocument/2006/relationships/hyperlink" Target="https://pl.wikipedia.org/wiki/Cieszyn" TargetMode="External"/><Relationship Id="rId216" Type="http://schemas.openxmlformats.org/officeDocument/2006/relationships/hyperlink" Target="https://pl.wikipedia.org/wiki/Kos%C3%B3w_(Bia%C5%82oru%C5%9B)" TargetMode="External"/><Relationship Id="rId337" Type="http://schemas.openxmlformats.org/officeDocument/2006/relationships/hyperlink" Target="https://pl.wikipedia.org/wiki/Komunistyczna_Partia_Polski" TargetMode="External"/><Relationship Id="rId458" Type="http://schemas.openxmlformats.org/officeDocument/2006/relationships/hyperlink" Target="https://pl.wikipedia.org/wiki/Katowice" TargetMode="External"/><Relationship Id="rId579" Type="http://schemas.openxmlformats.org/officeDocument/2006/relationships/hyperlink" Target="https://pl.wikipedia.org/wiki/Fo%C5%82ks-Partaj" TargetMode="External"/><Relationship Id="rId215" Type="http://schemas.openxmlformats.org/officeDocument/2006/relationships/hyperlink" Target="https://pl.wikipedia.org/wiki/Krzemieniec_(miasto)" TargetMode="External"/><Relationship Id="rId336" Type="http://schemas.openxmlformats.org/officeDocument/2006/relationships/hyperlink" Target="https://pl.wikipedia.org/wiki/Narodowa_Partia_Robotnicza" TargetMode="External"/><Relationship Id="rId457" Type="http://schemas.openxmlformats.org/officeDocument/2006/relationships/hyperlink" Target="https://pl.wikipedia.org/wiki/Chorz%C3%B3w" TargetMode="External"/><Relationship Id="rId578" Type="http://schemas.openxmlformats.org/officeDocument/2006/relationships/hyperlink" Target="https://pl.wikipedia.org/wiki/Polskie_Stronnictwo_Ludowe_%E2%80%93_Lewica" TargetMode="External"/><Relationship Id="rId214" Type="http://schemas.openxmlformats.org/officeDocument/2006/relationships/hyperlink" Target="https://pl.wikipedia.org/wiki/Krzemieniec_(miasto)" TargetMode="External"/><Relationship Id="rId335" Type="http://schemas.openxmlformats.org/officeDocument/2006/relationships/hyperlink" Target="https://pl.wikipedia.org/wiki/Polska_Partia_Socjalistyczna" TargetMode="External"/><Relationship Id="rId456" Type="http://schemas.openxmlformats.org/officeDocument/2006/relationships/hyperlink" Target="https://pl.wikipedia.org/wiki/Ostr%C3%B3w_Wielkopolski" TargetMode="External"/><Relationship Id="rId577" Type="http://schemas.openxmlformats.org/officeDocument/2006/relationships/hyperlink" Target="https://pl.wikipedia.org/wiki/Bund_(partia)" TargetMode="External"/><Relationship Id="rId219" Type="http://schemas.openxmlformats.org/officeDocument/2006/relationships/hyperlink" Target="https://pl.wikipedia.org/wiki/Pi%C5%84sk" TargetMode="External"/><Relationship Id="rId218" Type="http://schemas.openxmlformats.org/officeDocument/2006/relationships/hyperlink" Target="https://pl.wikipedia.org/wiki/Kos%C3%B3w_(Bia%C5%82oru%C5%9B)" TargetMode="External"/><Relationship Id="rId339" Type="http://schemas.openxmlformats.org/officeDocument/2006/relationships/hyperlink" Target="https://pl.wikipedia.org/wiki/Zwi%C4%85zek_Rad_Ludowych" TargetMode="External"/><Relationship Id="rId330" Type="http://schemas.openxmlformats.org/officeDocument/2006/relationships/hyperlink" Target="https://pl.wikipedia.org/wiki/Chrze%C5%9Bcija%C5%84ski_Zwi%C4%85zek_Jedno%C5%9Bci_Narodowej" TargetMode="External"/><Relationship Id="rId451" Type="http://schemas.openxmlformats.org/officeDocument/2006/relationships/hyperlink" Target="https://pl.wikipedia.org/wiki/Pozna%C5%84" TargetMode="External"/><Relationship Id="rId572" Type="http://schemas.openxmlformats.org/officeDocument/2006/relationships/hyperlink" Target="https://pl.wikipedia.org/wiki/Polskie_Stronnictwo_Ludowe_%E2%80%9EWyzwolenie%E2%80%9D" TargetMode="External"/><Relationship Id="rId450" Type="http://schemas.openxmlformats.org/officeDocument/2006/relationships/hyperlink" Target="https://pl.wikipedia.org/wiki/Wadowice" TargetMode="External"/><Relationship Id="rId571" Type="http://schemas.openxmlformats.org/officeDocument/2006/relationships/hyperlink" Target="https://pl.wikipedia.org/wiki/Polskie_Stronnictwo_Ludowe_%E2%80%9EPiast%E2%80%9D_(1913%E2%80%931931)" TargetMode="External"/><Relationship Id="rId570" Type="http://schemas.openxmlformats.org/officeDocument/2006/relationships/hyperlink" Target="https://pl.wikipedia.org/wiki/Blok_Mniejszo%C5%9Bci_Narodowych" TargetMode="External"/><Relationship Id="rId213" Type="http://schemas.openxmlformats.org/officeDocument/2006/relationships/hyperlink" Target="https://pl.wikipedia.org/wiki/Krzemieniec_(miasto)" TargetMode="External"/><Relationship Id="rId334" Type="http://schemas.openxmlformats.org/officeDocument/2006/relationships/hyperlink" Target="https://pl.wikipedia.org/wiki/Chrze%C5%9Bcija%C5%84ski_Zwi%C4%85zek_Jedno%C5%9Bci_Narodowej" TargetMode="External"/><Relationship Id="rId455" Type="http://schemas.openxmlformats.org/officeDocument/2006/relationships/hyperlink" Target="https://pl.wikipedia.org/wiki/Szamotu%C5%82y" TargetMode="External"/><Relationship Id="rId576" Type="http://schemas.openxmlformats.org/officeDocument/2006/relationships/hyperlink" Target="https://pl.wikipedia.org/wiki/Ch%C5%82opskie_Stronnictwo_Radykalne" TargetMode="External"/><Relationship Id="rId212" Type="http://schemas.openxmlformats.org/officeDocument/2006/relationships/hyperlink" Target="https://pl.wikipedia.org/wiki/%C5%81uck" TargetMode="External"/><Relationship Id="rId333" Type="http://schemas.openxmlformats.org/officeDocument/2006/relationships/hyperlink" Target="https://pl.wikipedia.org/wiki/Polskie_Stronnictwo_Ludowe_%E2%80%9EWyzwolenie%E2%80%9D" TargetMode="External"/><Relationship Id="rId454" Type="http://schemas.openxmlformats.org/officeDocument/2006/relationships/hyperlink" Target="https://pl.wikipedia.org/wiki/Tarn%C3%B3w" TargetMode="External"/><Relationship Id="rId575" Type="http://schemas.openxmlformats.org/officeDocument/2006/relationships/hyperlink" Target="https://pl.wikipedia.org/wiki/Komunistyczna_Partia_Polski" TargetMode="External"/><Relationship Id="rId211" Type="http://schemas.openxmlformats.org/officeDocument/2006/relationships/hyperlink" Target="https://pl.wikipedia.org/wiki/%C5%81uck" TargetMode="External"/><Relationship Id="rId332" Type="http://schemas.openxmlformats.org/officeDocument/2006/relationships/hyperlink" Target="https://pl.wikipedia.org/wiki/Blok_Mniejszo%C5%9Bci_Narodowych" TargetMode="External"/><Relationship Id="rId453" Type="http://schemas.openxmlformats.org/officeDocument/2006/relationships/hyperlink" Target="https://pl.wikipedia.org/wiki/Pozna%C5%84" TargetMode="External"/><Relationship Id="rId574" Type="http://schemas.openxmlformats.org/officeDocument/2006/relationships/hyperlink" Target="https://pl.wikipedia.org/wiki/Narodowa_Partia_Robotnicza" TargetMode="External"/><Relationship Id="rId210" Type="http://schemas.openxmlformats.org/officeDocument/2006/relationships/hyperlink" Target="https://pl.wikipedia.org/wiki/%C5%81uck" TargetMode="External"/><Relationship Id="rId331" Type="http://schemas.openxmlformats.org/officeDocument/2006/relationships/hyperlink" Target="https://pl.wikipedia.org/wiki/Polskie_Stronnictwo_Ludowe_%E2%80%9EPiast%E2%80%9D_(1913%E2%80%931931)" TargetMode="External"/><Relationship Id="rId452" Type="http://schemas.openxmlformats.org/officeDocument/2006/relationships/hyperlink" Target="https://pl.wikipedia.org/wiki/Nowy_S%C4%85cz" TargetMode="External"/><Relationship Id="rId573" Type="http://schemas.openxmlformats.org/officeDocument/2006/relationships/hyperlink" Target="https://pl.wikipedia.org/wiki/Polska_Partia_Socjalistyczna" TargetMode="External"/><Relationship Id="rId370" Type="http://schemas.openxmlformats.org/officeDocument/2006/relationships/hyperlink" Target="https://pl.wikipedia.org/wiki/%C5%81om%C5%BCa" TargetMode="External"/><Relationship Id="rId491" Type="http://schemas.openxmlformats.org/officeDocument/2006/relationships/hyperlink" Target="https://pl.wikipedia.org/wiki/Narodowa_Partia_Robotnicza" TargetMode="External"/><Relationship Id="rId490" Type="http://schemas.openxmlformats.org/officeDocument/2006/relationships/hyperlink" Target="https://pl.wikipedia.org/wiki/Polska_Partia_Socjalistyczna" TargetMode="External"/><Relationship Id="rId129" Type="http://schemas.openxmlformats.org/officeDocument/2006/relationships/hyperlink" Target="https://pl.wikipedia.org/wiki/Grudzi%C4%85dz" TargetMode="External"/><Relationship Id="rId128" Type="http://schemas.openxmlformats.org/officeDocument/2006/relationships/hyperlink" Target="https://pl.wikipedia.org/wiki/Grudzi%C4%85dz" TargetMode="External"/><Relationship Id="rId249" Type="http://schemas.openxmlformats.org/officeDocument/2006/relationships/hyperlink" Target="https://pl.wikipedia.org/wiki/Polskie_Stronnictwo_Ludowe_%E2%80%93_Lewica" TargetMode="External"/><Relationship Id="rId127" Type="http://schemas.openxmlformats.org/officeDocument/2006/relationships/hyperlink" Target="https://pl.wikipedia.org/wiki/Grudzi%C4%85dz" TargetMode="External"/><Relationship Id="rId248" Type="http://schemas.openxmlformats.org/officeDocument/2006/relationships/hyperlink" Target="https://pl.wikipedia.org/wiki/Bund_(partia)" TargetMode="External"/><Relationship Id="rId369" Type="http://schemas.openxmlformats.org/officeDocument/2006/relationships/hyperlink" Target="https://pl.wikipedia.org/wiki/W%C5%82oc%C5%82awek" TargetMode="External"/><Relationship Id="rId126" Type="http://schemas.openxmlformats.org/officeDocument/2006/relationships/hyperlink" Target="https://pl.wikipedia.org/wiki/Tczew" TargetMode="External"/><Relationship Id="rId247" Type="http://schemas.openxmlformats.org/officeDocument/2006/relationships/hyperlink" Target="https://pl.wikipedia.org/wiki/Ch%C5%82opskie_Stronnictwo_Radykalne" TargetMode="External"/><Relationship Id="rId368" Type="http://schemas.openxmlformats.org/officeDocument/2006/relationships/hyperlink" Target="https://pl.wikipedia.org/wiki/Bia%C5%82ystok" TargetMode="External"/><Relationship Id="rId489" Type="http://schemas.openxmlformats.org/officeDocument/2006/relationships/hyperlink" Target="https://pl.wikipedia.org/wiki/Polskie_Stronnictwo_Ludowe_%E2%80%9EWyzwolenie%E2%80%9D" TargetMode="External"/><Relationship Id="rId121" Type="http://schemas.openxmlformats.org/officeDocument/2006/relationships/hyperlink" Target="https://pl.wikipedia.org/wiki/Krasnystaw" TargetMode="External"/><Relationship Id="rId242" Type="http://schemas.openxmlformats.org/officeDocument/2006/relationships/hyperlink" Target="https://pl.wikipedia.org/wiki/Polskie_Stronnictwo_Ludowe_%E2%80%9EPiast%E2%80%9D_(1913%E2%80%931931)" TargetMode="External"/><Relationship Id="rId363" Type="http://schemas.openxmlformats.org/officeDocument/2006/relationships/hyperlink" Target="https://pl.wikipedia.org/wiki/Ciechan%C3%B3w" TargetMode="External"/><Relationship Id="rId484" Type="http://schemas.openxmlformats.org/officeDocument/2006/relationships/hyperlink" Target="https://pl.wikipedia.org/wiki/Wadowice" TargetMode="External"/><Relationship Id="rId120" Type="http://schemas.openxmlformats.org/officeDocument/2006/relationships/hyperlink" Target="https://pl.wikipedia.org/wiki/Zamo%C5%9B%C4%87" TargetMode="External"/><Relationship Id="rId241" Type="http://schemas.openxmlformats.org/officeDocument/2006/relationships/hyperlink" Target="https://pl.wikipedia.org/wiki/Blok_Mniejszo%C5%9Bci_Narodowych" TargetMode="External"/><Relationship Id="rId362" Type="http://schemas.openxmlformats.org/officeDocument/2006/relationships/hyperlink" Target="https://pl.wikipedia.org/wiki/Siedlce" TargetMode="External"/><Relationship Id="rId483" Type="http://schemas.openxmlformats.org/officeDocument/2006/relationships/hyperlink" Target="https://pl.wikipedia.org/wiki/Fo%C5%82ks-Partaj" TargetMode="External"/><Relationship Id="rId240" Type="http://schemas.openxmlformats.org/officeDocument/2006/relationships/hyperlink" Target="https://pl.wikipedia.org/wiki/Chrze%C5%9Bcija%C5%84ski_Zwi%C4%85zek_Jedno%C5%9Bci_Narodowej" TargetMode="External"/><Relationship Id="rId361" Type="http://schemas.openxmlformats.org/officeDocument/2006/relationships/hyperlink" Target="https://pl.wikipedia.org/wiki/Ostr%C3%B3w_Mazowiecka" TargetMode="External"/><Relationship Id="rId482" Type="http://schemas.openxmlformats.org/officeDocument/2006/relationships/hyperlink" Target="https://pl.wikipedia.org/wiki/Polskie_Stronnictwo_Ludowe_%E2%80%93_Lewica" TargetMode="External"/><Relationship Id="rId360" Type="http://schemas.openxmlformats.org/officeDocument/2006/relationships/hyperlink" Target="https://pl.wikipedia.org/wiki/Warszawa" TargetMode="External"/><Relationship Id="rId481" Type="http://schemas.openxmlformats.org/officeDocument/2006/relationships/hyperlink" Target="https://pl.wikipedia.org/wiki/Bund_(partia)" TargetMode="External"/><Relationship Id="rId125" Type="http://schemas.openxmlformats.org/officeDocument/2006/relationships/hyperlink" Target="https://pl.wikipedia.org/wiki/Tczew" TargetMode="External"/><Relationship Id="rId246" Type="http://schemas.openxmlformats.org/officeDocument/2006/relationships/hyperlink" Target="https://pl.wikipedia.org/wiki/Komunistyczna_Partia_Polski" TargetMode="External"/><Relationship Id="rId367" Type="http://schemas.openxmlformats.org/officeDocument/2006/relationships/hyperlink" Target="https://pl.wikipedia.org/wiki/Grodno" TargetMode="External"/><Relationship Id="rId488" Type="http://schemas.openxmlformats.org/officeDocument/2006/relationships/hyperlink" Target="https://pl.wikipedia.org/wiki/Polskie_Stronnictwo_Ludowe_%E2%80%9EPiast%E2%80%9D_(1913%E2%80%931931)" TargetMode="External"/><Relationship Id="rId124" Type="http://schemas.openxmlformats.org/officeDocument/2006/relationships/hyperlink" Target="https://pl.wikipedia.org/wiki/Tczew" TargetMode="External"/><Relationship Id="rId245" Type="http://schemas.openxmlformats.org/officeDocument/2006/relationships/hyperlink" Target="https://pl.wikipedia.org/wiki/Narodowa_Partia_Robotnicza" TargetMode="External"/><Relationship Id="rId366" Type="http://schemas.openxmlformats.org/officeDocument/2006/relationships/hyperlink" Target="https://pl.wikipedia.org/wiki/P%C5%82ock" TargetMode="External"/><Relationship Id="rId487" Type="http://schemas.openxmlformats.org/officeDocument/2006/relationships/hyperlink" Target="https://pl.wikipedia.org/wiki/Blok_Mniejszo%C5%9Bci_Narodowych" TargetMode="External"/><Relationship Id="rId123" Type="http://schemas.openxmlformats.org/officeDocument/2006/relationships/hyperlink" Target="https://pl.wikipedia.org/wiki/Krasnystaw" TargetMode="External"/><Relationship Id="rId244" Type="http://schemas.openxmlformats.org/officeDocument/2006/relationships/hyperlink" Target="https://pl.wikipedia.org/wiki/Polska_Partia_Socjalistyczna" TargetMode="External"/><Relationship Id="rId365" Type="http://schemas.openxmlformats.org/officeDocument/2006/relationships/hyperlink" Target="https://pl.wikipedia.org/wiki/Ostr%C3%B3w_Mazowiecka" TargetMode="External"/><Relationship Id="rId486" Type="http://schemas.openxmlformats.org/officeDocument/2006/relationships/hyperlink" Target="https://pl.wikipedia.org/wiki/Chrze%C5%9Bcija%C5%84ski_Zwi%C4%85zek_Jedno%C5%9Bci_Narodowej" TargetMode="External"/><Relationship Id="rId122" Type="http://schemas.openxmlformats.org/officeDocument/2006/relationships/hyperlink" Target="https://pl.wikipedia.org/wiki/Krasnystaw" TargetMode="External"/><Relationship Id="rId243" Type="http://schemas.openxmlformats.org/officeDocument/2006/relationships/hyperlink" Target="https://pl.wikipedia.org/wiki/Polskie_Stronnictwo_Ludowe_%E2%80%9EWyzwolenie%E2%80%9D" TargetMode="External"/><Relationship Id="rId364" Type="http://schemas.openxmlformats.org/officeDocument/2006/relationships/hyperlink" Target="https://pl.wikipedia.org/wiki/Bia%C5%82ystok" TargetMode="External"/><Relationship Id="rId485" Type="http://schemas.openxmlformats.org/officeDocument/2006/relationships/hyperlink" Target="https://pl.wikipedia.org/wiki/Nowy_S%C4%85cz" TargetMode="External"/><Relationship Id="rId95" Type="http://schemas.openxmlformats.org/officeDocument/2006/relationships/hyperlink" Target="https://pl.wikipedia.org/wiki/Radom" TargetMode="External"/><Relationship Id="rId94" Type="http://schemas.openxmlformats.org/officeDocument/2006/relationships/hyperlink" Target="https://pl.wikipedia.org/wiki/Radom" TargetMode="External"/><Relationship Id="rId97" Type="http://schemas.openxmlformats.org/officeDocument/2006/relationships/hyperlink" Target="https://pl.wikipedia.org/wiki/Kielce" TargetMode="External"/><Relationship Id="rId96" Type="http://schemas.openxmlformats.org/officeDocument/2006/relationships/hyperlink" Target="https://pl.wikipedia.org/wiki/Radom" TargetMode="External"/><Relationship Id="rId99" Type="http://schemas.openxmlformats.org/officeDocument/2006/relationships/hyperlink" Target="https://pl.wikipedia.org/wiki/Kielce" TargetMode="External"/><Relationship Id="rId480" Type="http://schemas.openxmlformats.org/officeDocument/2006/relationships/hyperlink" Target="https://pl.wikipedia.org/wiki/Ch%C5%82opskie_Stronnictwo_Radykalne" TargetMode="External"/><Relationship Id="rId98" Type="http://schemas.openxmlformats.org/officeDocument/2006/relationships/hyperlink" Target="https://pl.wikipedia.org/wiki/Kielce" TargetMode="External"/><Relationship Id="rId91" Type="http://schemas.openxmlformats.org/officeDocument/2006/relationships/hyperlink" Target="https://pl.wikipedia.org/wiki/Piotrk%C3%B3w_Trybunalski" TargetMode="External"/><Relationship Id="rId90" Type="http://schemas.openxmlformats.org/officeDocument/2006/relationships/hyperlink" Target="https://pl.wikipedia.org/wiki/Cz%C4%99stochowa" TargetMode="External"/><Relationship Id="rId93" Type="http://schemas.openxmlformats.org/officeDocument/2006/relationships/hyperlink" Target="https://pl.wikipedia.org/wiki/Piotrk%C3%B3w_Trybunalski" TargetMode="External"/><Relationship Id="rId92" Type="http://schemas.openxmlformats.org/officeDocument/2006/relationships/hyperlink" Target="https://pl.wikipedia.org/wiki/Piotrk%C3%B3w_Trybunalski" TargetMode="External"/><Relationship Id="rId118" Type="http://schemas.openxmlformats.org/officeDocument/2006/relationships/hyperlink" Target="https://pl.wikipedia.org/wiki/Zamo%C5%9B%C4%87" TargetMode="External"/><Relationship Id="rId239" Type="http://schemas.openxmlformats.org/officeDocument/2006/relationships/hyperlink" Target="https://pl.wikipedia.org/wiki/Blok_Mniejszo%C5%9Bci_Narodowych" TargetMode="External"/><Relationship Id="rId117" Type="http://schemas.openxmlformats.org/officeDocument/2006/relationships/hyperlink" Target="https://pl.wikipedia.org/wiki/Lublin" TargetMode="External"/><Relationship Id="rId238" Type="http://schemas.openxmlformats.org/officeDocument/2006/relationships/hyperlink" Target="https://pl.wikipedia.org/wiki/Chrze%C5%9Bcija%C5%84ski_Zwi%C4%85zek_Jedno%C5%9Bci_Narodowej" TargetMode="External"/><Relationship Id="rId359" Type="http://schemas.openxmlformats.org/officeDocument/2006/relationships/hyperlink" Target="https://pl.wikipedia.org/wiki/Warszawa" TargetMode="External"/><Relationship Id="rId116" Type="http://schemas.openxmlformats.org/officeDocument/2006/relationships/hyperlink" Target="https://pl.wikipedia.org/wiki/Lublin" TargetMode="External"/><Relationship Id="rId237" Type="http://schemas.openxmlformats.org/officeDocument/2006/relationships/hyperlink" Target="https://pl.wikipedia.org/wiki/Chrze%C5%9Bcija%C5%84ski_Zwi%C4%85zek_Jedno%C5%9Bci_Narodowej" TargetMode="External"/><Relationship Id="rId358" Type="http://schemas.openxmlformats.org/officeDocument/2006/relationships/hyperlink" Target="https://pl.wikipedia.org/wiki/Siedlce" TargetMode="External"/><Relationship Id="rId479" Type="http://schemas.openxmlformats.org/officeDocument/2006/relationships/hyperlink" Target="https://pl.wikipedia.org/wiki/Komunistyczna_Partia_Polski" TargetMode="External"/><Relationship Id="rId115" Type="http://schemas.openxmlformats.org/officeDocument/2006/relationships/hyperlink" Target="https://pl.wikipedia.org/wiki/Lublin" TargetMode="External"/><Relationship Id="rId236" Type="http://schemas.openxmlformats.org/officeDocument/2006/relationships/hyperlink" Target="https://pl.wikipedia.org/wiki/Fo%C5%82ks-Partaj" TargetMode="External"/><Relationship Id="rId357" Type="http://schemas.openxmlformats.org/officeDocument/2006/relationships/hyperlink" Target="https://pl.wikipedia.org/wiki/Warszawa" TargetMode="External"/><Relationship Id="rId478" Type="http://schemas.openxmlformats.org/officeDocument/2006/relationships/hyperlink" Target="https://pl.wikipedia.org/wiki/Narodowa_Partia_Robotnicza" TargetMode="External"/><Relationship Id="rId119" Type="http://schemas.openxmlformats.org/officeDocument/2006/relationships/hyperlink" Target="https://pl.wikipedia.org/wiki/Zamo%C5%9B%C4%87" TargetMode="External"/><Relationship Id="rId110" Type="http://schemas.openxmlformats.org/officeDocument/2006/relationships/hyperlink" Target="https://pl.wikipedia.org/wiki/%C5%81uk%C3%B3w" TargetMode="External"/><Relationship Id="rId231" Type="http://schemas.openxmlformats.org/officeDocument/2006/relationships/hyperlink" Target="https://pl.wikipedia.org/wiki/%C5%9Awi%C4%99ciany" TargetMode="External"/><Relationship Id="rId352" Type="http://schemas.openxmlformats.org/officeDocument/2006/relationships/hyperlink" Target="https://pl.wikipedia.org/wiki/Zwi%C4%85zek_Rad_Ludowych" TargetMode="External"/><Relationship Id="rId473" Type="http://schemas.openxmlformats.org/officeDocument/2006/relationships/hyperlink" Target="https://pl.wikipedia.org/wiki/Chrze%C5%9Bcija%C5%84ski_Zwi%C4%85zek_Jedno%C5%9Bci_Narodowej" TargetMode="External"/><Relationship Id="rId230" Type="http://schemas.openxmlformats.org/officeDocument/2006/relationships/hyperlink" Target="https://pl.wikipedia.org/wiki/Wilno" TargetMode="External"/><Relationship Id="rId351" Type="http://schemas.openxmlformats.org/officeDocument/2006/relationships/hyperlink" Target="https://pl.wikipedia.org/wiki/Blok_Mniejszo%C5%9Bci_Narodowych" TargetMode="External"/><Relationship Id="rId472" Type="http://schemas.openxmlformats.org/officeDocument/2006/relationships/hyperlink" Target="https://pl.wikipedia.org/wiki/Fo%C5%82ks-Partaj" TargetMode="External"/><Relationship Id="rId350" Type="http://schemas.openxmlformats.org/officeDocument/2006/relationships/hyperlink" Target="https://pl.wikipedia.org/wiki/Chrze%C5%9Bcija%C5%84ski_Zwi%C4%85zek_Jedno%C5%9Bci_Narodowej" TargetMode="External"/><Relationship Id="rId471" Type="http://schemas.openxmlformats.org/officeDocument/2006/relationships/hyperlink" Target="https://pl.wikipedia.org/wiki/Polskie_Stronnictwo_Ludowe_%E2%80%93_Lewica" TargetMode="External"/><Relationship Id="rId470" Type="http://schemas.openxmlformats.org/officeDocument/2006/relationships/hyperlink" Target="https://pl.wikipedia.org/wiki/Bund_(partia)" TargetMode="External"/><Relationship Id="rId591" Type="http://schemas.openxmlformats.org/officeDocument/2006/relationships/drawing" Target="../drawings/drawing1.xml"/><Relationship Id="rId114" Type="http://schemas.openxmlformats.org/officeDocument/2006/relationships/hyperlink" Target="https://pl.wikipedia.org/wiki/Bia%C5%82a_Podlaska" TargetMode="External"/><Relationship Id="rId235" Type="http://schemas.openxmlformats.org/officeDocument/2006/relationships/hyperlink" Target="https://pl.wikipedia.org/wiki/Blok_Mniejszo%C5%9Bci_Narodowych" TargetMode="External"/><Relationship Id="rId356" Type="http://schemas.openxmlformats.org/officeDocument/2006/relationships/hyperlink" Target="https://pl.wikipedia.org/wiki/Warszawa" TargetMode="External"/><Relationship Id="rId477" Type="http://schemas.openxmlformats.org/officeDocument/2006/relationships/hyperlink" Target="https://pl.wikipedia.org/wiki/Polska_Partia_Socjalistyczna" TargetMode="External"/><Relationship Id="rId113" Type="http://schemas.openxmlformats.org/officeDocument/2006/relationships/hyperlink" Target="https://pl.wikipedia.org/wiki/Bia%C5%82a_Podlaska" TargetMode="External"/><Relationship Id="rId234" Type="http://schemas.openxmlformats.org/officeDocument/2006/relationships/hyperlink" Target="https://pl.wikipedia.org/wiki/Chrze%C5%9Bcija%C5%84ski_Zwi%C4%85zek_Jedno%C5%9Bci_Narodowej" TargetMode="External"/><Relationship Id="rId355" Type="http://schemas.openxmlformats.org/officeDocument/2006/relationships/hyperlink" Target="https://pl.wikipedia.org/wiki/Wybory_parlamentarne_w_Polsce_w_1922_roku" TargetMode="External"/><Relationship Id="rId476" Type="http://schemas.openxmlformats.org/officeDocument/2006/relationships/hyperlink" Target="https://pl.wikipedia.org/wiki/Polskie_Stronnictwo_Ludowe_%E2%80%9EWyzwolenie%E2%80%9D" TargetMode="External"/><Relationship Id="rId112" Type="http://schemas.openxmlformats.org/officeDocument/2006/relationships/hyperlink" Target="https://pl.wikipedia.org/wiki/Bia%C5%82a_Podlaska" TargetMode="External"/><Relationship Id="rId233" Type="http://schemas.openxmlformats.org/officeDocument/2006/relationships/hyperlink" Target="https://pl.wikipedia.org/wiki/%C5%9Awi%C4%99ciany" TargetMode="External"/><Relationship Id="rId354" Type="http://schemas.openxmlformats.org/officeDocument/2006/relationships/hyperlink" Target="https://pl.wikipedia.org/wiki/Wybory_parlamentarne_w_Polsce_w_1922_roku" TargetMode="External"/><Relationship Id="rId475" Type="http://schemas.openxmlformats.org/officeDocument/2006/relationships/hyperlink" Target="https://pl.wikipedia.org/wiki/Polskie_Stronnictwo_Ludowe_%E2%80%9EPiast%E2%80%9D_(1913%E2%80%931931)" TargetMode="External"/><Relationship Id="rId111" Type="http://schemas.openxmlformats.org/officeDocument/2006/relationships/hyperlink" Target="https://pl.wikipedia.org/wiki/%C5%81uk%C3%B3w" TargetMode="External"/><Relationship Id="rId232" Type="http://schemas.openxmlformats.org/officeDocument/2006/relationships/hyperlink" Target="https://pl.wikipedia.org/wiki/%C5%9Awi%C4%99ciany" TargetMode="External"/><Relationship Id="rId353" Type="http://schemas.openxmlformats.org/officeDocument/2006/relationships/hyperlink" Target="https://pl.wikipedia.org/wiki/Unia_Narodowo-Pa%C5%84stwowa" TargetMode="External"/><Relationship Id="rId474" Type="http://schemas.openxmlformats.org/officeDocument/2006/relationships/hyperlink" Target="https://pl.wikipedia.org/wiki/Blok_Mniejszo%C5%9Bci_Narodowych" TargetMode="External"/><Relationship Id="rId305" Type="http://schemas.openxmlformats.org/officeDocument/2006/relationships/hyperlink" Target="https://pl.wikipedia.org/wiki/Rzesz%C3%B3w" TargetMode="External"/><Relationship Id="rId426" Type="http://schemas.openxmlformats.org/officeDocument/2006/relationships/hyperlink" Target="https://pl.wikipedia.org/wiki/Pozna%C5%84" TargetMode="External"/><Relationship Id="rId547" Type="http://schemas.openxmlformats.org/officeDocument/2006/relationships/hyperlink" Target="https://pl.wikipedia.org/wiki/Komunistyczna_Partia_Polski" TargetMode="External"/><Relationship Id="rId304" Type="http://schemas.openxmlformats.org/officeDocument/2006/relationships/hyperlink" Target="https://pl.wikipedia.org/wiki/Jas%C5%82o" TargetMode="External"/><Relationship Id="rId425" Type="http://schemas.openxmlformats.org/officeDocument/2006/relationships/hyperlink" Target="https://pl.wikipedia.org/wiki/%C5%81uk%C3%B3w" TargetMode="External"/><Relationship Id="rId546" Type="http://schemas.openxmlformats.org/officeDocument/2006/relationships/hyperlink" Target="https://pl.wikipedia.org/wiki/Komunistyczna_Partia_Polski" TargetMode="External"/><Relationship Id="rId303" Type="http://schemas.openxmlformats.org/officeDocument/2006/relationships/hyperlink" Target="https://pl.wikipedia.org/wiki/Tarn%C3%B3w" TargetMode="External"/><Relationship Id="rId424" Type="http://schemas.openxmlformats.org/officeDocument/2006/relationships/hyperlink" Target="https://pl.wikipedia.org/wiki/Krzemieniec_(miasto)" TargetMode="External"/><Relationship Id="rId545" Type="http://schemas.openxmlformats.org/officeDocument/2006/relationships/hyperlink" Target="https://pl.wikipedia.org/wiki/Narodowa_Partia_Robotnicza" TargetMode="External"/><Relationship Id="rId302" Type="http://schemas.openxmlformats.org/officeDocument/2006/relationships/hyperlink" Target="https://pl.wikipedia.org/wiki/Nowy_S%C4%85cz" TargetMode="External"/><Relationship Id="rId423" Type="http://schemas.openxmlformats.org/officeDocument/2006/relationships/hyperlink" Target="https://pl.wikipedia.org/wiki/Gniezno" TargetMode="External"/><Relationship Id="rId544" Type="http://schemas.openxmlformats.org/officeDocument/2006/relationships/hyperlink" Target="https://pl.wikipedia.org/wiki/Narodowa_Partia_Robotnicza" TargetMode="External"/><Relationship Id="rId309" Type="http://schemas.openxmlformats.org/officeDocument/2006/relationships/hyperlink" Target="https://pl.wikipedia.org/wiki/%C5%BB%C3%B3%C5%82kiew" TargetMode="External"/><Relationship Id="rId308" Type="http://schemas.openxmlformats.org/officeDocument/2006/relationships/hyperlink" Target="https://pl.wikipedia.org/wiki/Lw%C3%B3w" TargetMode="External"/><Relationship Id="rId429" Type="http://schemas.openxmlformats.org/officeDocument/2006/relationships/hyperlink" Target="https://pl.wikipedia.org/wiki/Pozna%C5%84" TargetMode="External"/><Relationship Id="rId307" Type="http://schemas.openxmlformats.org/officeDocument/2006/relationships/hyperlink" Target="https://pl.wikipedia.org/wiki/Sambor_(miasto)" TargetMode="External"/><Relationship Id="rId428" Type="http://schemas.openxmlformats.org/officeDocument/2006/relationships/hyperlink" Target="https://pl.wikipedia.org/wiki/Bia%C5%82a_Podlaska" TargetMode="External"/><Relationship Id="rId549" Type="http://schemas.openxmlformats.org/officeDocument/2006/relationships/hyperlink" Target="https://pl.wikipedia.org/wiki/Ch%C5%82opskie_Stronnictwo_Radykalne" TargetMode="External"/><Relationship Id="rId306" Type="http://schemas.openxmlformats.org/officeDocument/2006/relationships/hyperlink" Target="https://pl.wikipedia.org/wiki/Przemy%C5%9Bl" TargetMode="External"/><Relationship Id="rId427" Type="http://schemas.openxmlformats.org/officeDocument/2006/relationships/hyperlink" Target="https://pl.wikipedia.org/wiki/Kos%C3%B3w_(Bia%C5%82oru%C5%9B)" TargetMode="External"/><Relationship Id="rId548" Type="http://schemas.openxmlformats.org/officeDocument/2006/relationships/hyperlink" Target="https://pl.wikipedia.org/wiki/Komunistyczna_Partia_Polski" TargetMode="External"/><Relationship Id="rId301" Type="http://schemas.openxmlformats.org/officeDocument/2006/relationships/hyperlink" Target="https://pl.wikipedia.org/wiki/Wadowice" TargetMode="External"/><Relationship Id="rId422" Type="http://schemas.openxmlformats.org/officeDocument/2006/relationships/hyperlink" Target="https://pl.wikipedia.org/wiki/Wierzbnik_(Starachowice)" TargetMode="External"/><Relationship Id="rId543" Type="http://schemas.openxmlformats.org/officeDocument/2006/relationships/hyperlink" Target="https://pl.wikipedia.org/wiki/Narodowa_Partia_Robotnicza" TargetMode="External"/><Relationship Id="rId300" Type="http://schemas.openxmlformats.org/officeDocument/2006/relationships/hyperlink" Target="https://pl.wikipedia.org/wiki/Krak%C3%B3w" TargetMode="External"/><Relationship Id="rId421" Type="http://schemas.openxmlformats.org/officeDocument/2006/relationships/hyperlink" Target="https://pl.wikipedia.org/wiki/%C5%81uck" TargetMode="External"/><Relationship Id="rId542" Type="http://schemas.openxmlformats.org/officeDocument/2006/relationships/hyperlink" Target="https://pl.wikipedia.org/wiki/Polska_Partia_Socjalistyczna" TargetMode="External"/><Relationship Id="rId420" Type="http://schemas.openxmlformats.org/officeDocument/2006/relationships/hyperlink" Target="https://pl.wikipedia.org/wiki/Bydgoszcz" TargetMode="External"/><Relationship Id="rId541" Type="http://schemas.openxmlformats.org/officeDocument/2006/relationships/hyperlink" Target="https://pl.wikipedia.org/wiki/Polska_Partia_Socjalistyczna" TargetMode="External"/><Relationship Id="rId540" Type="http://schemas.openxmlformats.org/officeDocument/2006/relationships/hyperlink" Target="https://pl.wikipedia.org/wiki/Polska_Partia_Socjalistyczna" TargetMode="External"/><Relationship Id="rId415" Type="http://schemas.openxmlformats.org/officeDocument/2006/relationships/hyperlink" Target="https://pl.wikipedia.org/wiki/Z%C5%82ocz%C3%B3w" TargetMode="External"/><Relationship Id="rId536" Type="http://schemas.openxmlformats.org/officeDocument/2006/relationships/hyperlink" Target="https://pl.wikipedia.org/wiki/Polskie_Stronnictwo_Ludowe_%E2%80%9EPiast%E2%80%9D_(1913%E2%80%931931)" TargetMode="External"/><Relationship Id="rId414" Type="http://schemas.openxmlformats.org/officeDocument/2006/relationships/hyperlink" Target="https://pl.wikipedia.org/wiki/Grudzi%C4%85dz" TargetMode="External"/><Relationship Id="rId535" Type="http://schemas.openxmlformats.org/officeDocument/2006/relationships/hyperlink" Target="https://pl.wikipedia.org/wiki/Polskie_Stronnictwo_Ludowe_%E2%80%9EPiast%E2%80%9D_(1913%E2%80%931931)" TargetMode="External"/><Relationship Id="rId413" Type="http://schemas.openxmlformats.org/officeDocument/2006/relationships/hyperlink" Target="https://pl.wikipedia.org/wiki/Kielce" TargetMode="External"/><Relationship Id="rId534" Type="http://schemas.openxmlformats.org/officeDocument/2006/relationships/hyperlink" Target="https://pl.wikipedia.org/wiki/Polskie_Stronnictwo_Ludowe_%E2%80%9EPiast%E2%80%9D_(1913%E2%80%931931)" TargetMode="External"/><Relationship Id="rId412" Type="http://schemas.openxmlformats.org/officeDocument/2006/relationships/hyperlink" Target="https://pl.wikipedia.org/wiki/Tarnopol" TargetMode="External"/><Relationship Id="rId533" Type="http://schemas.openxmlformats.org/officeDocument/2006/relationships/hyperlink" Target="https://pl.wikipedia.org/wiki/%C5%9Awi%C4%99ciany" TargetMode="External"/><Relationship Id="rId419" Type="http://schemas.openxmlformats.org/officeDocument/2006/relationships/hyperlink" Target="https://pl.wikipedia.org/wiki/Sandomierz" TargetMode="External"/><Relationship Id="rId418" Type="http://schemas.openxmlformats.org/officeDocument/2006/relationships/hyperlink" Target="https://pl.wikipedia.org/wiki/Kowel" TargetMode="External"/><Relationship Id="rId539" Type="http://schemas.openxmlformats.org/officeDocument/2006/relationships/hyperlink" Target="https://pl.wikipedia.org/wiki/Polskie_Stronnictwo_Ludowe_%E2%80%9EWyzwolenie%E2%80%9D" TargetMode="External"/><Relationship Id="rId417" Type="http://schemas.openxmlformats.org/officeDocument/2006/relationships/hyperlink" Target="https://pl.wikipedia.org/wiki/Toru%C5%84" TargetMode="External"/><Relationship Id="rId538" Type="http://schemas.openxmlformats.org/officeDocument/2006/relationships/hyperlink" Target="https://pl.wikipedia.org/wiki/Polskie_Stronnictwo_Ludowe_%E2%80%9EWyzwolenie%E2%80%9D" TargetMode="External"/><Relationship Id="rId416" Type="http://schemas.openxmlformats.org/officeDocument/2006/relationships/hyperlink" Target="https://pl.wikipedia.org/wiki/B%C4%99dzin" TargetMode="External"/><Relationship Id="rId537" Type="http://schemas.openxmlformats.org/officeDocument/2006/relationships/hyperlink" Target="https://pl.wikipedia.org/wiki/Polskie_Stronnictwo_Ludowe_%E2%80%9EWyzwolenie%E2%80%9D" TargetMode="External"/><Relationship Id="rId411" Type="http://schemas.openxmlformats.org/officeDocument/2006/relationships/hyperlink" Target="https://pl.wikipedia.org/wiki/Tczew" TargetMode="External"/><Relationship Id="rId532" Type="http://schemas.openxmlformats.org/officeDocument/2006/relationships/hyperlink" Target="https://pl.wikipedia.org/wiki/Blok_Mniejszo%C5%9Bci_Narodowych" TargetMode="External"/><Relationship Id="rId410" Type="http://schemas.openxmlformats.org/officeDocument/2006/relationships/hyperlink" Target="https://pl.wikipedia.org/wiki/Radom" TargetMode="External"/><Relationship Id="rId531" Type="http://schemas.openxmlformats.org/officeDocument/2006/relationships/hyperlink" Target="https://pl.wikipedia.org/wiki/Blok_Mniejszo%C5%9Bci_Narodowych" TargetMode="External"/><Relationship Id="rId530" Type="http://schemas.openxmlformats.org/officeDocument/2006/relationships/hyperlink" Target="https://pl.wikipedia.org/wiki/Blok_Mniejszo%C5%9Bci_Narodowych" TargetMode="External"/><Relationship Id="rId206" Type="http://schemas.openxmlformats.org/officeDocument/2006/relationships/hyperlink" Target="https://pl.wikipedia.org/wiki/Z%C5%82ocz%C3%B3w" TargetMode="External"/><Relationship Id="rId327" Type="http://schemas.openxmlformats.org/officeDocument/2006/relationships/hyperlink" Target="https://pl.wikipedia.org/wiki/%C5%9Awi%C4%99ciany" TargetMode="External"/><Relationship Id="rId448" Type="http://schemas.openxmlformats.org/officeDocument/2006/relationships/hyperlink" Target="https://pl.wikipedia.org/wiki/Krak%C3%B3w" TargetMode="External"/><Relationship Id="rId569" Type="http://schemas.openxmlformats.org/officeDocument/2006/relationships/hyperlink" Target="https://pl.wikipedia.org/wiki/Chrze%C5%9Bcija%C5%84ski_Zwi%C4%85zek_Jedno%C5%9Bci_Narodowej" TargetMode="External"/><Relationship Id="rId205" Type="http://schemas.openxmlformats.org/officeDocument/2006/relationships/hyperlink" Target="https://pl.wikipedia.org/wiki/Z%C5%82ocz%C3%B3w" TargetMode="External"/><Relationship Id="rId326" Type="http://schemas.openxmlformats.org/officeDocument/2006/relationships/hyperlink" Target="https://pl.wikipedia.org/wiki/Wilno" TargetMode="External"/><Relationship Id="rId447" Type="http://schemas.openxmlformats.org/officeDocument/2006/relationships/hyperlink" Target="https://pl.wikipedia.org/wiki/Bydgoszcz" TargetMode="External"/><Relationship Id="rId568" Type="http://schemas.openxmlformats.org/officeDocument/2006/relationships/hyperlink" Target="https://pl.wikipedia.org/wiki/Fo%C5%82ks-Partaj" TargetMode="External"/><Relationship Id="rId204" Type="http://schemas.openxmlformats.org/officeDocument/2006/relationships/hyperlink" Target="https://pl.wikipedia.org/wiki/Z%C5%82ocz%C3%B3w" TargetMode="External"/><Relationship Id="rId325" Type="http://schemas.openxmlformats.org/officeDocument/2006/relationships/hyperlink" Target="https://pl.wikipedia.org/wiki/Chrze%C5%9Bcija%C5%84ski_Zwi%C4%85zek_Jedno%C5%9Bci_Narodowej" TargetMode="External"/><Relationship Id="rId446" Type="http://schemas.openxmlformats.org/officeDocument/2006/relationships/hyperlink" Target="https://pl.wikipedia.org/wiki/Krak%C3%B3w" TargetMode="External"/><Relationship Id="rId567" Type="http://schemas.openxmlformats.org/officeDocument/2006/relationships/hyperlink" Target="https://pl.wikipedia.org/wiki/Polskie_Stronnictwo_Ludowe_%E2%80%93_Lewica" TargetMode="External"/><Relationship Id="rId203" Type="http://schemas.openxmlformats.org/officeDocument/2006/relationships/hyperlink" Target="https://pl.wikipedia.org/wiki/Tarnopol" TargetMode="External"/><Relationship Id="rId324" Type="http://schemas.openxmlformats.org/officeDocument/2006/relationships/hyperlink" Target="https://pl.wikipedia.org/wiki/Lida" TargetMode="External"/><Relationship Id="rId445" Type="http://schemas.openxmlformats.org/officeDocument/2006/relationships/hyperlink" Target="https://pl.wikipedia.org/wiki/Toru%C5%84" TargetMode="External"/><Relationship Id="rId566" Type="http://schemas.openxmlformats.org/officeDocument/2006/relationships/hyperlink" Target="https://pl.wikipedia.org/wiki/Bund_(partia)" TargetMode="External"/><Relationship Id="rId209" Type="http://schemas.openxmlformats.org/officeDocument/2006/relationships/hyperlink" Target="https://pl.wikipedia.org/wiki/Kowel" TargetMode="External"/><Relationship Id="rId208" Type="http://schemas.openxmlformats.org/officeDocument/2006/relationships/hyperlink" Target="https://pl.wikipedia.org/wiki/Kowel" TargetMode="External"/><Relationship Id="rId329" Type="http://schemas.openxmlformats.org/officeDocument/2006/relationships/hyperlink" Target="https://pl.wikipedia.org/wiki/Blok_Mniejszo%C5%9Bci_Narodowych" TargetMode="External"/><Relationship Id="rId207" Type="http://schemas.openxmlformats.org/officeDocument/2006/relationships/hyperlink" Target="https://pl.wikipedia.org/wiki/Kowel" TargetMode="External"/><Relationship Id="rId328" Type="http://schemas.openxmlformats.org/officeDocument/2006/relationships/hyperlink" Target="https://pl.wikipedia.org/wiki/Chrze%C5%9Bcija%C5%84ski_Zwi%C4%85zek_Jedno%C5%9Bci_Narodowej" TargetMode="External"/><Relationship Id="rId449" Type="http://schemas.openxmlformats.org/officeDocument/2006/relationships/hyperlink" Target="https://pl.wikipedia.org/wiki/Gniezno" TargetMode="External"/><Relationship Id="rId440" Type="http://schemas.openxmlformats.org/officeDocument/2006/relationships/hyperlink" Target="https://pl.wikipedia.org/wiki/Tczew" TargetMode="External"/><Relationship Id="rId561" Type="http://schemas.openxmlformats.org/officeDocument/2006/relationships/hyperlink" Target="https://pl.wikipedia.org/wiki/Polskie_Stronnictwo_Ludowe_%E2%80%9EWyzwolenie%E2%80%9D" TargetMode="External"/><Relationship Id="rId560" Type="http://schemas.openxmlformats.org/officeDocument/2006/relationships/hyperlink" Target="https://pl.wikipedia.org/wiki/Polskie_Stronnictwo_Ludowe_%E2%80%9EPiast%E2%80%9D_(1913%E2%80%931931)" TargetMode="External"/><Relationship Id="rId202" Type="http://schemas.openxmlformats.org/officeDocument/2006/relationships/hyperlink" Target="https://pl.wikipedia.org/wiki/Tarnopol" TargetMode="External"/><Relationship Id="rId323" Type="http://schemas.openxmlformats.org/officeDocument/2006/relationships/hyperlink" Target="https://pl.wikipedia.org/wiki/Fo%C5%82ks-Partaj" TargetMode="External"/><Relationship Id="rId444" Type="http://schemas.openxmlformats.org/officeDocument/2006/relationships/hyperlink" Target="https://pl.wikipedia.org/wiki/Cieszyn" TargetMode="External"/><Relationship Id="rId565" Type="http://schemas.openxmlformats.org/officeDocument/2006/relationships/hyperlink" Target="https://pl.wikipedia.org/wiki/Ch%C5%82opskie_Stronnictwo_Radykalne" TargetMode="External"/><Relationship Id="rId201" Type="http://schemas.openxmlformats.org/officeDocument/2006/relationships/hyperlink" Target="https://pl.wikipedia.org/wiki/Tarnopol" TargetMode="External"/><Relationship Id="rId322" Type="http://schemas.openxmlformats.org/officeDocument/2006/relationships/hyperlink" Target="https://pl.wikipedia.org/wiki/Nowogr%C3%B3dek" TargetMode="External"/><Relationship Id="rId443" Type="http://schemas.openxmlformats.org/officeDocument/2006/relationships/hyperlink" Target="https://pl.wikipedia.org/wiki/Grudzi%C4%85dz" TargetMode="External"/><Relationship Id="rId564" Type="http://schemas.openxmlformats.org/officeDocument/2006/relationships/hyperlink" Target="https://pl.wikipedia.org/wiki/Komunistyczna_Partia_Polski" TargetMode="External"/><Relationship Id="rId200" Type="http://schemas.openxmlformats.org/officeDocument/2006/relationships/hyperlink" Target="https://pl.wikipedia.org/wiki/Iwano-Frankiwsk" TargetMode="External"/><Relationship Id="rId321" Type="http://schemas.openxmlformats.org/officeDocument/2006/relationships/hyperlink" Target="https://pl.wikipedia.org/wiki/Pi%C5%84sk" TargetMode="External"/><Relationship Id="rId442" Type="http://schemas.openxmlformats.org/officeDocument/2006/relationships/hyperlink" Target="https://pl.wikipedia.org/wiki/%C5%9Awi%C4%99ciany" TargetMode="External"/><Relationship Id="rId563" Type="http://schemas.openxmlformats.org/officeDocument/2006/relationships/hyperlink" Target="https://pl.wikipedia.org/wiki/Narodowa_Partia_Robotnicza" TargetMode="External"/><Relationship Id="rId320" Type="http://schemas.openxmlformats.org/officeDocument/2006/relationships/hyperlink" Target="https://pl.wikipedia.org/wiki/Kos%C3%B3w_(Bia%C5%82oru%C5%9B)" TargetMode="External"/><Relationship Id="rId441" Type="http://schemas.openxmlformats.org/officeDocument/2006/relationships/hyperlink" Target="https://pl.wikipedia.org/wiki/Katowice" TargetMode="External"/><Relationship Id="rId562" Type="http://schemas.openxmlformats.org/officeDocument/2006/relationships/hyperlink" Target="https://pl.wikipedia.org/wiki/Polska_Partia_Socjalistyczna" TargetMode="External"/><Relationship Id="rId316" Type="http://schemas.openxmlformats.org/officeDocument/2006/relationships/hyperlink" Target="https://pl.wikipedia.org/wiki/Z%C5%82ocz%C3%B3w" TargetMode="External"/><Relationship Id="rId437" Type="http://schemas.openxmlformats.org/officeDocument/2006/relationships/hyperlink" Target="https://pl.wikipedia.org/wiki/Krasnystaw" TargetMode="External"/><Relationship Id="rId558" Type="http://schemas.openxmlformats.org/officeDocument/2006/relationships/hyperlink" Target="https://pl.wikipedia.org/wiki/Chrze%C5%9Bcija%C5%84ski_Zwi%C4%85zek_Jedno%C5%9Bci_Narodowej" TargetMode="External"/><Relationship Id="rId315" Type="http://schemas.openxmlformats.org/officeDocument/2006/relationships/hyperlink" Target="https://pl.wikipedia.org/wiki/Blok_Mniejszo%C5%9Bci_Narodowych" TargetMode="External"/><Relationship Id="rId436" Type="http://schemas.openxmlformats.org/officeDocument/2006/relationships/hyperlink" Target="https://pl.wikipedia.org/wiki/Lida" TargetMode="External"/><Relationship Id="rId557" Type="http://schemas.openxmlformats.org/officeDocument/2006/relationships/hyperlink" Target="https://pl.wikipedia.org/wiki/Polskie_Stronnictwo_Ludowe_%E2%80%93_Lewica" TargetMode="External"/><Relationship Id="rId314" Type="http://schemas.openxmlformats.org/officeDocument/2006/relationships/hyperlink" Target="https://pl.wikipedia.org/wiki/Tarnopol" TargetMode="External"/><Relationship Id="rId435" Type="http://schemas.openxmlformats.org/officeDocument/2006/relationships/hyperlink" Target="https://pl.wikipedia.org/wiki/Ostr%C3%B3w_Wielkopolski" TargetMode="External"/><Relationship Id="rId556" Type="http://schemas.openxmlformats.org/officeDocument/2006/relationships/hyperlink" Target="https://pl.wikipedia.org/wiki/Polskie_Stronnictwo_Ludowe_%E2%80%93_Lewica" TargetMode="External"/><Relationship Id="rId313" Type="http://schemas.openxmlformats.org/officeDocument/2006/relationships/hyperlink" Target="https://pl.wikipedia.org/wiki/Iwano-Frankiwsk" TargetMode="External"/><Relationship Id="rId434" Type="http://schemas.openxmlformats.org/officeDocument/2006/relationships/hyperlink" Target="https://pl.wikipedia.org/wiki/Zamo%C5%9B%C4%87" TargetMode="External"/><Relationship Id="rId555" Type="http://schemas.openxmlformats.org/officeDocument/2006/relationships/hyperlink" Target="https://pl.wikipedia.org/wiki/Polskie_Stronnictwo_Ludowe_%E2%80%93_Lewica" TargetMode="External"/><Relationship Id="rId319" Type="http://schemas.openxmlformats.org/officeDocument/2006/relationships/hyperlink" Target="https://pl.wikipedia.org/wiki/Krzemieniec_(miasto)" TargetMode="External"/><Relationship Id="rId318" Type="http://schemas.openxmlformats.org/officeDocument/2006/relationships/hyperlink" Target="https://pl.wikipedia.org/wiki/%C5%81uck" TargetMode="External"/><Relationship Id="rId439" Type="http://schemas.openxmlformats.org/officeDocument/2006/relationships/hyperlink" Target="https://pl.wikipedia.org/wiki/Wilno" TargetMode="External"/><Relationship Id="rId317" Type="http://schemas.openxmlformats.org/officeDocument/2006/relationships/hyperlink" Target="https://pl.wikipedia.org/wiki/Kowel" TargetMode="External"/><Relationship Id="rId438" Type="http://schemas.openxmlformats.org/officeDocument/2006/relationships/hyperlink" Target="https://pl.wikipedia.org/wiki/Chorz%C3%B3w" TargetMode="External"/><Relationship Id="rId559" Type="http://schemas.openxmlformats.org/officeDocument/2006/relationships/hyperlink" Target="https://pl.wikipedia.org/wiki/Blok_Mniejszo%C5%9Bci_Narodowych" TargetMode="External"/><Relationship Id="rId550" Type="http://schemas.openxmlformats.org/officeDocument/2006/relationships/hyperlink" Target="https://pl.wikipedia.org/wiki/Ch%C5%82opskie_Stronnictwo_Radykalne" TargetMode="External"/><Relationship Id="rId312" Type="http://schemas.openxmlformats.org/officeDocument/2006/relationships/hyperlink" Target="https://pl.wikipedia.org/wiki/Chrze%C5%9Bcija%C5%84ski_Zwi%C4%85zek_Jedno%C5%9Bci_Narodowej" TargetMode="External"/><Relationship Id="rId433" Type="http://schemas.openxmlformats.org/officeDocument/2006/relationships/hyperlink" Target="https://pl.wikipedia.org/wiki/Nowogr%C3%B3dek" TargetMode="External"/><Relationship Id="rId554" Type="http://schemas.openxmlformats.org/officeDocument/2006/relationships/hyperlink" Target="https://pl.wikipedia.org/wiki/Bund_(partia)" TargetMode="External"/><Relationship Id="rId311" Type="http://schemas.openxmlformats.org/officeDocument/2006/relationships/hyperlink" Target="https://pl.wikipedia.org/wiki/Chrze%C5%9Bcija%C5%84ski_Zwi%C4%85zek_Jedno%C5%9Bci_Narodowej" TargetMode="External"/><Relationship Id="rId432" Type="http://schemas.openxmlformats.org/officeDocument/2006/relationships/hyperlink" Target="https://pl.wikipedia.org/wiki/Szamotu%C5%82y" TargetMode="External"/><Relationship Id="rId553" Type="http://schemas.openxmlformats.org/officeDocument/2006/relationships/hyperlink" Target="https://pl.wikipedia.org/wiki/Bund_(partia)" TargetMode="External"/><Relationship Id="rId310" Type="http://schemas.openxmlformats.org/officeDocument/2006/relationships/hyperlink" Target="https://pl.wikipedia.org/wiki/Stryj_(miasto)" TargetMode="External"/><Relationship Id="rId431" Type="http://schemas.openxmlformats.org/officeDocument/2006/relationships/hyperlink" Target="https://pl.wikipedia.org/wiki/Lublin" TargetMode="External"/><Relationship Id="rId552" Type="http://schemas.openxmlformats.org/officeDocument/2006/relationships/hyperlink" Target="https://pl.wikipedia.org/wiki/Bund_(partia)" TargetMode="External"/><Relationship Id="rId430" Type="http://schemas.openxmlformats.org/officeDocument/2006/relationships/hyperlink" Target="https://pl.wikipedia.org/wiki/Pi%C5%84sk" TargetMode="External"/><Relationship Id="rId551" Type="http://schemas.openxmlformats.org/officeDocument/2006/relationships/hyperlink" Target="https://pl.wikipedia.org/wiki/Ch%C5%82opskie_Stronnictwo_Radykal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7.63"/>
    <col customWidth="1" min="8" max="8" width="28.38"/>
    <col customWidth="1" min="9" max="9" width="10.0"/>
    <col customWidth="1" min="10" max="10" width="14.38"/>
    <col customWidth="1" min="11" max="11" width="18.63"/>
    <col customWidth="1" min="12" max="14" width="7.63"/>
    <col customWidth="1" min="15" max="15" width="25.25"/>
    <col customWidth="1" min="16" max="16" width="9.0"/>
    <col customWidth="1" min="17" max="18" width="7.63"/>
    <col customWidth="1" min="19" max="19" width="12.5"/>
    <col customWidth="1" min="20" max="20" width="13.88"/>
    <col customWidth="1" min="21" max="21" width="7.88"/>
    <col customWidth="1" min="22" max="22" width="13.13"/>
    <col customWidth="1" min="23" max="23" width="10.5"/>
    <col customWidth="1" min="24" max="25" width="7.63"/>
    <col customWidth="1" min="26" max="26" width="11.25"/>
    <col customWidth="1" min="27" max="27" width="7.63"/>
    <col customWidth="1" min="28" max="28" width="12.0"/>
    <col customWidth="1" min="29" max="29" width="13.75"/>
    <col customWidth="1" min="30" max="30" width="14.88"/>
    <col customWidth="1" min="31" max="57" width="7.63"/>
    <col customWidth="1" min="58" max="58" width="13.75"/>
    <col customWidth="1" min="59" max="59" width="7.63"/>
    <col customWidth="1" min="60" max="60" width="20.88"/>
    <col customWidth="1" min="61" max="65" width="7.63"/>
    <col customWidth="1" min="66" max="66" width="11.13"/>
    <col customWidth="1" min="67" max="67" width="7.63"/>
    <col customWidth="1" min="68" max="68" width="10.25"/>
    <col customWidth="1" min="69" max="71" width="7.63"/>
    <col customWidth="1" min="72" max="72" width="13.0"/>
    <col customWidth="1" min="73" max="73" width="7.63"/>
    <col customWidth="1" min="74" max="74" width="11.25"/>
    <col customWidth="1" min="75" max="88" width="7.63"/>
    <col customWidth="1" min="89" max="89" width="12.0"/>
    <col customWidth="1" min="90" max="90" width="16.0"/>
    <col customWidth="1" min="91" max="91" width="15.5"/>
    <col customWidth="1" min="92" max="92" width="14.13"/>
    <col customWidth="1" min="93" max="93" width="11.5"/>
    <col customWidth="1" min="94" max="94" width="7.63"/>
    <col customWidth="1" min="95" max="95" width="12.88"/>
    <col customWidth="1" min="96" max="96" width="14.38"/>
    <col customWidth="1" min="97" max="97" width="14.25"/>
    <col customWidth="1" min="98" max="98" width="15.5"/>
    <col customWidth="1" min="99" max="100" width="7.63"/>
    <col customWidth="1" min="101" max="101" width="14.5"/>
    <col customWidth="1" min="102" max="102" width="17.0"/>
    <col customWidth="1" min="103" max="103" width="13.13"/>
    <col customWidth="1" min="104" max="104" width="11.88"/>
    <col customWidth="1" min="105" max="107" width="7.63"/>
    <col customWidth="1" min="108" max="108" width="14.13"/>
    <col customWidth="1" min="109" max="110" width="12.38"/>
    <col customWidth="1" min="111" max="136" width="7.63"/>
    <col customWidth="1" min="137" max="137" width="10.0"/>
  </cols>
  <sheetData>
    <row r="1" ht="12.0" customHeight="1">
      <c r="A1" s="1" t="s">
        <v>0</v>
      </c>
      <c r="B1" s="2"/>
      <c r="C1" s="3"/>
      <c r="J1" s="4" t="s">
        <v>1</v>
      </c>
      <c r="K1" s="4" t="s">
        <v>2</v>
      </c>
      <c r="L1" s="5"/>
      <c r="M1" s="6"/>
      <c r="N1" s="7"/>
      <c r="O1" s="8"/>
      <c r="P1" s="9"/>
      <c r="Q1" s="10"/>
      <c r="R1" s="11"/>
      <c r="S1" s="12"/>
      <c r="T1" s="13"/>
      <c r="U1" s="14"/>
      <c r="V1" s="15"/>
      <c r="W1" s="12"/>
      <c r="X1" s="16"/>
      <c r="Y1" s="12"/>
      <c r="Z1" s="17"/>
      <c r="AA1" s="4" t="s">
        <v>3</v>
      </c>
      <c r="AC1" s="4" t="s">
        <v>1</v>
      </c>
      <c r="AD1" s="4" t="s">
        <v>2</v>
      </c>
      <c r="AE1" s="5"/>
      <c r="AF1" s="6"/>
      <c r="AG1" s="7"/>
      <c r="AH1" s="8"/>
      <c r="AI1" s="9"/>
      <c r="AJ1" s="10"/>
      <c r="AK1" s="11"/>
      <c r="AL1" s="12"/>
      <c r="AM1" s="13"/>
      <c r="AN1" s="14"/>
      <c r="AO1" s="15"/>
      <c r="AP1" s="12"/>
      <c r="AQ1" s="16"/>
      <c r="AR1" s="12"/>
      <c r="AS1" s="17"/>
      <c r="AT1" s="4" t="s">
        <v>4</v>
      </c>
      <c r="AX1" s="18" t="s">
        <v>5</v>
      </c>
      <c r="AY1" s="19"/>
      <c r="AZ1" s="20"/>
      <c r="BA1" s="21"/>
      <c r="BB1" s="22"/>
      <c r="BC1" s="22"/>
      <c r="BD1" s="22"/>
      <c r="BE1" s="22"/>
      <c r="BF1" s="22"/>
      <c r="BG1" s="22"/>
      <c r="BH1" s="23"/>
      <c r="BI1" s="24"/>
      <c r="BJ1" s="25"/>
      <c r="BK1" s="26"/>
      <c r="BL1" s="25"/>
      <c r="BM1" s="27"/>
      <c r="BS1" s="28"/>
      <c r="BT1" s="29"/>
      <c r="BU1" s="29"/>
      <c r="BV1" s="30"/>
      <c r="BW1" s="28"/>
      <c r="BX1" s="29"/>
      <c r="BY1" s="30"/>
      <c r="BZ1" s="31"/>
      <c r="CK1" s="32" t="s">
        <v>5</v>
      </c>
      <c r="CL1" s="33"/>
      <c r="CM1" s="34"/>
      <c r="CN1" s="35"/>
      <c r="CO1" s="36"/>
      <c r="CP1" s="37"/>
      <c r="CQ1" s="38"/>
      <c r="CR1" s="37"/>
      <c r="CS1" s="39"/>
      <c r="CT1" s="40"/>
      <c r="CU1" s="41"/>
      <c r="CV1" s="18" t="s">
        <v>6</v>
      </c>
      <c r="CW1" s="42"/>
      <c r="CX1" s="35"/>
      <c r="CY1" s="43"/>
      <c r="CZ1" s="44"/>
      <c r="DA1" s="40"/>
      <c r="DB1" s="40"/>
      <c r="DC1" s="18" t="s">
        <v>7</v>
      </c>
      <c r="DD1" s="45"/>
      <c r="DE1" s="35"/>
      <c r="DF1" s="46"/>
      <c r="DP1" s="47"/>
      <c r="DQ1" s="47"/>
      <c r="DR1" s="47"/>
      <c r="DS1" s="47"/>
    </row>
    <row r="2" ht="12.0" customHeight="1">
      <c r="A2" s="48">
        <v>1.0</v>
      </c>
      <c r="C2" s="49"/>
      <c r="E2" s="50" t="s">
        <v>8</v>
      </c>
      <c r="F2" s="50" t="s">
        <v>9</v>
      </c>
      <c r="G2" s="50" t="s">
        <v>10</v>
      </c>
      <c r="H2" s="50" t="s">
        <v>11</v>
      </c>
      <c r="L2" s="51" t="s">
        <v>12</v>
      </c>
      <c r="M2" s="51" t="s">
        <v>13</v>
      </c>
      <c r="N2" s="51" t="s">
        <v>14</v>
      </c>
      <c r="O2" s="51" t="s">
        <v>15</v>
      </c>
      <c r="P2" s="51" t="s">
        <v>16</v>
      </c>
      <c r="Q2" s="51" t="s">
        <v>17</v>
      </c>
      <c r="R2" s="52" t="s">
        <v>18</v>
      </c>
      <c r="S2" s="52" t="s">
        <v>19</v>
      </c>
      <c r="T2" s="51" t="s">
        <v>20</v>
      </c>
      <c r="U2" s="51" t="s">
        <v>21</v>
      </c>
      <c r="V2" s="51" t="s">
        <v>22</v>
      </c>
      <c r="W2" s="52" t="s">
        <v>23</v>
      </c>
      <c r="X2" s="51" t="s">
        <v>24</v>
      </c>
      <c r="Y2" s="51" t="s">
        <v>25</v>
      </c>
      <c r="Z2" s="52" t="s">
        <v>26</v>
      </c>
      <c r="AE2" s="51" t="s">
        <v>12</v>
      </c>
      <c r="AF2" s="51" t="s">
        <v>13</v>
      </c>
      <c r="AG2" s="51" t="s">
        <v>14</v>
      </c>
      <c r="AH2" s="51" t="s">
        <v>15</v>
      </c>
      <c r="AI2" s="51" t="s">
        <v>16</v>
      </c>
      <c r="AJ2" s="51" t="s">
        <v>17</v>
      </c>
      <c r="AK2" s="52" t="s">
        <v>18</v>
      </c>
      <c r="AL2" s="52" t="s">
        <v>19</v>
      </c>
      <c r="AM2" s="51" t="s">
        <v>20</v>
      </c>
      <c r="AN2" s="51" t="s">
        <v>21</v>
      </c>
      <c r="AO2" s="51" t="s">
        <v>22</v>
      </c>
      <c r="AP2" s="52" t="s">
        <v>23</v>
      </c>
      <c r="AQ2" s="51" t="s">
        <v>24</v>
      </c>
      <c r="AR2" s="51" t="s">
        <v>25</v>
      </c>
      <c r="AS2" s="52" t="s">
        <v>26</v>
      </c>
      <c r="AX2" s="53"/>
      <c r="AY2" s="54" t="s">
        <v>12</v>
      </c>
      <c r="AZ2" s="55" t="s">
        <v>13</v>
      </c>
      <c r="BA2" s="56" t="s">
        <v>27</v>
      </c>
      <c r="BH2" s="57"/>
      <c r="BI2" s="52" t="s">
        <v>18</v>
      </c>
      <c r="BJ2" s="58" t="s">
        <v>19</v>
      </c>
      <c r="BK2" s="52" t="s">
        <v>23</v>
      </c>
      <c r="BL2" s="55" t="s">
        <v>25</v>
      </c>
      <c r="BM2" s="59" t="s">
        <v>26</v>
      </c>
      <c r="BS2" s="60" t="s">
        <v>14</v>
      </c>
      <c r="BT2" s="61" t="s">
        <v>15</v>
      </c>
      <c r="BU2" s="61" t="s">
        <v>16</v>
      </c>
      <c r="BV2" s="62" t="s">
        <v>17</v>
      </c>
      <c r="BW2" s="60" t="s">
        <v>20</v>
      </c>
      <c r="BX2" s="61" t="s">
        <v>21</v>
      </c>
      <c r="BY2" s="62" t="s">
        <v>22</v>
      </c>
      <c r="BZ2" s="63" t="s">
        <v>24</v>
      </c>
      <c r="CK2" s="64"/>
      <c r="CL2" s="55" t="s">
        <v>12</v>
      </c>
      <c r="CM2" s="51" t="s">
        <v>13</v>
      </c>
      <c r="CN2" s="65" t="s">
        <v>27</v>
      </c>
      <c r="CO2" s="52" t="s">
        <v>18</v>
      </c>
      <c r="CP2" s="58" t="s">
        <v>19</v>
      </c>
      <c r="CQ2" s="52" t="s">
        <v>23</v>
      </c>
      <c r="CR2" s="55" t="s">
        <v>25</v>
      </c>
      <c r="CS2" s="59" t="s">
        <v>26</v>
      </c>
      <c r="CT2" s="41"/>
      <c r="CU2" s="41"/>
      <c r="CV2" s="53"/>
      <c r="CW2" s="54" t="s">
        <v>12</v>
      </c>
      <c r="CX2" s="65" t="s">
        <v>27</v>
      </c>
      <c r="CY2" s="52" t="s">
        <v>28</v>
      </c>
      <c r="CZ2" s="58" t="s">
        <v>18</v>
      </c>
      <c r="DA2" s="41"/>
      <c r="DB2" s="41"/>
      <c r="DC2" s="53"/>
      <c r="DD2" s="66" t="s">
        <v>29</v>
      </c>
      <c r="DE2" s="65" t="s">
        <v>27</v>
      </c>
      <c r="DF2" s="59" t="s">
        <v>28</v>
      </c>
      <c r="DH2" s="67"/>
      <c r="DI2" s="67"/>
      <c r="DJ2" s="67"/>
      <c r="DK2" s="67"/>
      <c r="DL2" s="67"/>
      <c r="DM2" s="67"/>
      <c r="DN2" s="67"/>
      <c r="DP2" s="68"/>
      <c r="DQ2" s="68"/>
      <c r="DR2" s="68"/>
      <c r="DS2" s="68"/>
    </row>
    <row r="3" ht="12.0" customHeight="1">
      <c r="A3" s="69" t="s">
        <v>30</v>
      </c>
      <c r="C3" s="57"/>
      <c r="E3" s="70">
        <v>1.0</v>
      </c>
      <c r="F3" s="71" t="s">
        <v>31</v>
      </c>
      <c r="G3" s="70" t="s">
        <v>32</v>
      </c>
      <c r="H3" s="70">
        <v>14.0</v>
      </c>
      <c r="J3" s="72">
        <v>1.0</v>
      </c>
      <c r="K3" s="73" t="s">
        <v>33</v>
      </c>
      <c r="L3" s="74">
        <v>41.99</v>
      </c>
      <c r="M3" s="72">
        <v>12.59</v>
      </c>
      <c r="N3" s="75" t="s">
        <v>34</v>
      </c>
      <c r="O3" s="75" t="s">
        <v>34</v>
      </c>
      <c r="P3" s="72">
        <v>20.73</v>
      </c>
      <c r="Q3" s="72">
        <v>1.27</v>
      </c>
      <c r="R3" s="72">
        <v>1.61</v>
      </c>
      <c r="S3" s="75" t="s">
        <v>34</v>
      </c>
      <c r="T3" s="72">
        <v>6.7</v>
      </c>
      <c r="U3" s="75" t="s">
        <v>34</v>
      </c>
      <c r="V3" s="72">
        <v>4.73</v>
      </c>
      <c r="W3" s="75" t="s">
        <v>34</v>
      </c>
      <c r="X3" s="75" t="s">
        <v>34</v>
      </c>
      <c r="Y3" s="72">
        <v>5.78</v>
      </c>
      <c r="Z3" s="72">
        <v>4.6</v>
      </c>
      <c r="AA3" s="4">
        <v>71.55</v>
      </c>
      <c r="AC3" s="72">
        <v>1.0</v>
      </c>
      <c r="AD3" s="73" t="s">
        <v>33</v>
      </c>
      <c r="AE3" s="74">
        <v>7.0</v>
      </c>
      <c r="AF3" s="72">
        <v>2.0</v>
      </c>
      <c r="AG3" s="75" t="s">
        <v>34</v>
      </c>
      <c r="AH3" s="75" t="s">
        <v>34</v>
      </c>
      <c r="AI3" s="72">
        <v>3.0</v>
      </c>
      <c r="AJ3" s="72">
        <v>0.0</v>
      </c>
      <c r="AK3" s="72">
        <v>0.0</v>
      </c>
      <c r="AL3" s="75" t="s">
        <v>34</v>
      </c>
      <c r="AM3" s="72">
        <v>1.0</v>
      </c>
      <c r="AN3" s="75" t="s">
        <v>34</v>
      </c>
      <c r="AO3" s="72">
        <v>0.0</v>
      </c>
      <c r="AP3" s="75" t="s">
        <v>34</v>
      </c>
      <c r="AQ3" s="75" t="s">
        <v>34</v>
      </c>
      <c r="AR3" s="72">
        <v>1.0</v>
      </c>
      <c r="AS3" s="72">
        <v>0.0</v>
      </c>
      <c r="AT3" s="4">
        <v>14.0</v>
      </c>
      <c r="AX3" s="53"/>
      <c r="AY3" s="76">
        <v>41.99</v>
      </c>
      <c r="AZ3" s="77">
        <v>12.59</v>
      </c>
      <c r="BA3" s="78">
        <f>$CA$3</f>
        <v>33.43</v>
      </c>
      <c r="BH3" s="57"/>
      <c r="BI3" s="79">
        <v>1.61</v>
      </c>
      <c r="BJ3" s="80">
        <v>0.0</v>
      </c>
      <c r="BK3" s="81">
        <v>0.0</v>
      </c>
      <c r="BL3" s="77">
        <v>5.78</v>
      </c>
      <c r="BM3" s="82">
        <v>4.6</v>
      </c>
      <c r="BS3" s="75">
        <v>0.0</v>
      </c>
      <c r="BT3" s="75">
        <v>0.0</v>
      </c>
      <c r="BU3" s="72">
        <v>20.73</v>
      </c>
      <c r="BV3" s="72">
        <v>1.27</v>
      </c>
      <c r="BW3" s="72">
        <v>6.7</v>
      </c>
      <c r="BX3" s="75">
        <v>0.0</v>
      </c>
      <c r="BY3" s="72">
        <v>4.73</v>
      </c>
      <c r="BZ3" s="75">
        <v>0.0</v>
      </c>
      <c r="CA3" s="83">
        <f t="shared" ref="CA3:CA66" si="1">SUM(BS3:BZ3)</f>
        <v>33.43</v>
      </c>
      <c r="CD3" s="83">
        <v>33.43</v>
      </c>
      <c r="CJ3" s="84">
        <v>1.0</v>
      </c>
      <c r="CK3" s="64"/>
      <c r="CL3" s="85">
        <v>7.0</v>
      </c>
      <c r="CM3" s="86">
        <v>2.0</v>
      </c>
      <c r="CN3" s="85">
        <v>5.0</v>
      </c>
      <c r="CO3" s="86">
        <v>0.0</v>
      </c>
      <c r="CP3" s="85">
        <v>0.0</v>
      </c>
      <c r="CQ3" s="86">
        <v>0.0</v>
      </c>
      <c r="CR3" s="85">
        <v>0.0</v>
      </c>
      <c r="CS3" s="87">
        <v>0.0</v>
      </c>
      <c r="CT3" s="41"/>
      <c r="CU3" s="41"/>
      <c r="CV3" s="53"/>
      <c r="CW3" s="88">
        <v>6.0</v>
      </c>
      <c r="CX3" s="85">
        <v>5.0</v>
      </c>
      <c r="CY3" s="86">
        <v>3.0</v>
      </c>
      <c r="CZ3" s="85">
        <v>0.0</v>
      </c>
      <c r="DA3" s="41"/>
      <c r="DB3" s="41"/>
      <c r="DC3" s="53"/>
      <c r="DD3" s="88">
        <v>6.0</v>
      </c>
      <c r="DE3" s="85">
        <v>5.0</v>
      </c>
      <c r="DF3" s="87">
        <v>3.0</v>
      </c>
    </row>
    <row r="4" ht="12.0" customHeight="1">
      <c r="A4" s="64"/>
      <c r="C4" s="57"/>
      <c r="E4" s="70">
        <v>2.0</v>
      </c>
      <c r="F4" s="71" t="s">
        <v>31</v>
      </c>
      <c r="G4" s="71" t="s">
        <v>35</v>
      </c>
      <c r="H4" s="70">
        <v>5.0</v>
      </c>
      <c r="J4" s="72">
        <v>2.0</v>
      </c>
      <c r="K4" s="73" t="s">
        <v>36</v>
      </c>
      <c r="L4" s="74">
        <v>56.14</v>
      </c>
      <c r="M4" s="72">
        <v>9.68</v>
      </c>
      <c r="N4" s="72">
        <v>8.92</v>
      </c>
      <c r="O4" s="72">
        <v>9.19</v>
      </c>
      <c r="P4" s="72">
        <v>11.49</v>
      </c>
      <c r="Q4" s="75" t="s">
        <v>34</v>
      </c>
      <c r="R4" s="72">
        <v>1.64</v>
      </c>
      <c r="S4" s="75" t="s">
        <v>34</v>
      </c>
      <c r="T4" s="72">
        <v>1.13</v>
      </c>
      <c r="U4" s="72">
        <v>0.03</v>
      </c>
      <c r="V4" s="72">
        <v>0.84</v>
      </c>
      <c r="W4" s="75" t="s">
        <v>34</v>
      </c>
      <c r="X4" s="75" t="s">
        <v>34</v>
      </c>
      <c r="Y4" s="72">
        <v>0.9</v>
      </c>
      <c r="Z4" s="72">
        <v>0.04</v>
      </c>
      <c r="AA4" s="4">
        <v>76.28</v>
      </c>
      <c r="AC4" s="72">
        <v>2.0</v>
      </c>
      <c r="AD4" s="73" t="s">
        <v>36</v>
      </c>
      <c r="AE4" s="74">
        <v>4.0</v>
      </c>
      <c r="AF4" s="72">
        <v>0.0</v>
      </c>
      <c r="AG4" s="72">
        <v>0.0</v>
      </c>
      <c r="AH4" s="72">
        <v>0.0</v>
      </c>
      <c r="AI4" s="72">
        <v>1.0</v>
      </c>
      <c r="AJ4" s="75" t="s">
        <v>34</v>
      </c>
      <c r="AK4" s="72">
        <v>0.0</v>
      </c>
      <c r="AL4" s="75" t="s">
        <v>34</v>
      </c>
      <c r="AM4" s="72">
        <v>0.0</v>
      </c>
      <c r="AN4" s="72">
        <v>0.0</v>
      </c>
      <c r="AO4" s="72">
        <v>0.0</v>
      </c>
      <c r="AP4" s="75" t="s">
        <v>34</v>
      </c>
      <c r="AQ4" s="75" t="s">
        <v>34</v>
      </c>
      <c r="AR4" s="72">
        <v>0.0</v>
      </c>
      <c r="AS4" s="72">
        <v>0.0</v>
      </c>
      <c r="AT4" s="4">
        <v>5.0</v>
      </c>
      <c r="AX4" s="53"/>
      <c r="AY4" s="76">
        <v>56.14</v>
      </c>
      <c r="AZ4" s="77">
        <v>9.68</v>
      </c>
      <c r="BA4" s="78">
        <f t="shared" ref="BA4:BA66" si="2">$CA4</f>
        <v>31.6</v>
      </c>
      <c r="BH4" s="57"/>
      <c r="BI4" s="79">
        <v>1.64</v>
      </c>
      <c r="BJ4" s="80">
        <v>0.0</v>
      </c>
      <c r="BK4" s="81">
        <v>0.0</v>
      </c>
      <c r="BL4" s="77">
        <v>0.9</v>
      </c>
      <c r="BM4" s="82">
        <v>0.04</v>
      </c>
      <c r="BS4" s="72">
        <v>8.92</v>
      </c>
      <c r="BT4" s="72">
        <v>9.19</v>
      </c>
      <c r="BU4" s="72">
        <v>11.49</v>
      </c>
      <c r="BV4" s="75">
        <v>0.0</v>
      </c>
      <c r="BW4" s="72">
        <v>1.13</v>
      </c>
      <c r="BX4" s="72">
        <v>0.03</v>
      </c>
      <c r="BY4" s="72">
        <v>0.84</v>
      </c>
      <c r="BZ4" s="75">
        <v>0.0</v>
      </c>
      <c r="CA4" s="83">
        <f t="shared" si="1"/>
        <v>31.6</v>
      </c>
      <c r="CJ4" s="84">
        <v>2.0</v>
      </c>
      <c r="CK4" s="64"/>
      <c r="CL4" s="85">
        <v>3.0</v>
      </c>
      <c r="CM4" s="86">
        <v>0.0</v>
      </c>
      <c r="CN4" s="85">
        <v>2.0</v>
      </c>
      <c r="CO4" s="86">
        <v>0.0</v>
      </c>
      <c r="CP4" s="85">
        <v>0.0</v>
      </c>
      <c r="CQ4" s="86">
        <v>0.0</v>
      </c>
      <c r="CR4" s="85">
        <v>0.0</v>
      </c>
      <c r="CS4" s="87">
        <v>0.0</v>
      </c>
      <c r="CT4" s="41"/>
      <c r="CU4" s="41"/>
      <c r="CV4" s="53"/>
      <c r="CW4" s="88">
        <v>3.0</v>
      </c>
      <c r="CX4" s="85">
        <v>2.0</v>
      </c>
      <c r="CY4" s="86">
        <v>0.0</v>
      </c>
      <c r="CZ4" s="85">
        <v>0.0</v>
      </c>
      <c r="DA4" s="41"/>
      <c r="DB4" s="41"/>
      <c r="DC4" s="53"/>
      <c r="DD4" s="88">
        <v>3.0</v>
      </c>
      <c r="DE4" s="85">
        <v>2.0</v>
      </c>
      <c r="DF4" s="87">
        <v>0.0</v>
      </c>
    </row>
    <row r="5" ht="12.0" customHeight="1">
      <c r="A5" s="64"/>
      <c r="C5" s="57"/>
      <c r="E5" s="70">
        <v>3.0</v>
      </c>
      <c r="F5" s="71" t="s">
        <v>37</v>
      </c>
      <c r="G5" s="70" t="s">
        <v>38</v>
      </c>
      <c r="H5" s="70">
        <v>4.0</v>
      </c>
      <c r="J5" s="72">
        <v>3.0</v>
      </c>
      <c r="K5" s="73" t="s">
        <v>37</v>
      </c>
      <c r="L5" s="74">
        <v>54.98</v>
      </c>
      <c r="M5" s="72">
        <v>7.94</v>
      </c>
      <c r="N5" s="72">
        <v>10.84</v>
      </c>
      <c r="O5" s="72">
        <v>10.5</v>
      </c>
      <c r="P5" s="72">
        <v>7.99</v>
      </c>
      <c r="Q5" s="72">
        <v>0.63</v>
      </c>
      <c r="R5" s="72">
        <v>4.65</v>
      </c>
      <c r="S5" s="75" t="s">
        <v>34</v>
      </c>
      <c r="T5" s="72">
        <v>0.24</v>
      </c>
      <c r="U5" s="75" t="s">
        <v>34</v>
      </c>
      <c r="V5" s="72">
        <v>0.77</v>
      </c>
      <c r="W5" s="75" t="s">
        <v>34</v>
      </c>
      <c r="X5" s="75" t="s">
        <v>34</v>
      </c>
      <c r="Y5" s="72">
        <v>0.41</v>
      </c>
      <c r="Z5" s="72">
        <v>1.05</v>
      </c>
      <c r="AA5" s="4">
        <v>78.47</v>
      </c>
      <c r="AC5" s="72">
        <v>3.0</v>
      </c>
      <c r="AD5" s="73" t="s">
        <v>37</v>
      </c>
      <c r="AE5" s="74">
        <v>4.0</v>
      </c>
      <c r="AF5" s="72">
        <v>0.0</v>
      </c>
      <c r="AG5" s="72">
        <v>0.0</v>
      </c>
      <c r="AH5" s="72">
        <v>0.0</v>
      </c>
      <c r="AI5" s="72">
        <v>0.0</v>
      </c>
      <c r="AJ5" s="72">
        <v>0.0</v>
      </c>
      <c r="AK5" s="72">
        <v>0.0</v>
      </c>
      <c r="AL5" s="75" t="s">
        <v>34</v>
      </c>
      <c r="AM5" s="72">
        <v>0.0</v>
      </c>
      <c r="AN5" s="75" t="s">
        <v>34</v>
      </c>
      <c r="AO5" s="72">
        <v>0.0</v>
      </c>
      <c r="AP5" s="75" t="s">
        <v>34</v>
      </c>
      <c r="AQ5" s="75" t="s">
        <v>34</v>
      </c>
      <c r="AR5" s="72">
        <v>0.0</v>
      </c>
      <c r="AS5" s="72">
        <v>0.0</v>
      </c>
      <c r="AT5" s="4">
        <v>4.0</v>
      </c>
      <c r="AX5" s="53"/>
      <c r="AY5" s="76">
        <v>54.98</v>
      </c>
      <c r="AZ5" s="77">
        <v>7.94</v>
      </c>
      <c r="BA5" s="78">
        <f t="shared" si="2"/>
        <v>30.97</v>
      </c>
      <c r="BH5" s="57"/>
      <c r="BI5" s="79">
        <v>4.65</v>
      </c>
      <c r="BJ5" s="80">
        <v>0.0</v>
      </c>
      <c r="BK5" s="81">
        <v>0.0</v>
      </c>
      <c r="BL5" s="77">
        <v>0.41</v>
      </c>
      <c r="BM5" s="82">
        <v>1.05</v>
      </c>
      <c r="BS5" s="72">
        <v>10.84</v>
      </c>
      <c r="BT5" s="72">
        <v>10.5</v>
      </c>
      <c r="BU5" s="72">
        <v>7.99</v>
      </c>
      <c r="BV5" s="72">
        <v>0.63</v>
      </c>
      <c r="BW5" s="72">
        <v>0.24</v>
      </c>
      <c r="BX5" s="75">
        <v>0.0</v>
      </c>
      <c r="BY5" s="72">
        <v>0.77</v>
      </c>
      <c r="BZ5" s="75">
        <v>0.0</v>
      </c>
      <c r="CA5" s="83">
        <f t="shared" si="1"/>
        <v>30.97</v>
      </c>
      <c r="CJ5" s="84">
        <v>3.0</v>
      </c>
      <c r="CK5" s="64"/>
      <c r="CL5" s="85">
        <v>3.0</v>
      </c>
      <c r="CM5" s="86">
        <v>0.0</v>
      </c>
      <c r="CN5" s="85">
        <v>1.0</v>
      </c>
      <c r="CO5" s="86">
        <v>0.0</v>
      </c>
      <c r="CP5" s="85">
        <v>0.0</v>
      </c>
      <c r="CQ5" s="86">
        <v>0.0</v>
      </c>
      <c r="CR5" s="85">
        <v>0.0</v>
      </c>
      <c r="CS5" s="87">
        <v>0.0</v>
      </c>
      <c r="CT5" s="41"/>
      <c r="CU5" s="41"/>
      <c r="CV5" s="53"/>
      <c r="CW5" s="88">
        <v>3.0</v>
      </c>
      <c r="CX5" s="85">
        <v>1.0</v>
      </c>
      <c r="CY5" s="86">
        <v>0.0</v>
      </c>
      <c r="CZ5" s="85">
        <v>0.0</v>
      </c>
      <c r="DA5" s="41"/>
      <c r="DB5" s="41"/>
      <c r="DC5" s="53"/>
      <c r="DD5" s="88">
        <v>3.0</v>
      </c>
      <c r="DE5" s="85">
        <v>1.0</v>
      </c>
      <c r="DF5" s="87">
        <v>0.0</v>
      </c>
    </row>
    <row r="6" ht="12.0" customHeight="1">
      <c r="A6" s="64"/>
      <c r="C6" s="57"/>
      <c r="E6" s="70">
        <v>4.0</v>
      </c>
      <c r="F6" s="71" t="s">
        <v>39</v>
      </c>
      <c r="G6" s="70" t="s">
        <v>40</v>
      </c>
      <c r="H6" s="70">
        <v>4.0</v>
      </c>
      <c r="J6" s="72">
        <v>4.0</v>
      </c>
      <c r="K6" s="73" t="s">
        <v>39</v>
      </c>
      <c r="L6" s="74">
        <v>56.86</v>
      </c>
      <c r="M6" s="72">
        <v>17.18</v>
      </c>
      <c r="N6" s="72">
        <v>1.31</v>
      </c>
      <c r="O6" s="72">
        <v>14.95</v>
      </c>
      <c r="P6" s="72">
        <v>3.68</v>
      </c>
      <c r="Q6" s="72">
        <v>0.12</v>
      </c>
      <c r="R6" s="72">
        <v>2.75</v>
      </c>
      <c r="S6" s="75" t="s">
        <v>34</v>
      </c>
      <c r="T6" s="75" t="s">
        <v>34</v>
      </c>
      <c r="U6" s="72">
        <v>0.78</v>
      </c>
      <c r="V6" s="72">
        <v>0.74</v>
      </c>
      <c r="W6" s="75" t="s">
        <v>34</v>
      </c>
      <c r="X6" s="75" t="s">
        <v>34</v>
      </c>
      <c r="Y6" s="72">
        <v>0.01</v>
      </c>
      <c r="Z6" s="72">
        <v>1.62</v>
      </c>
      <c r="AA6" s="4">
        <v>66.66</v>
      </c>
      <c r="AC6" s="72">
        <v>4.0</v>
      </c>
      <c r="AD6" s="73" t="s">
        <v>39</v>
      </c>
      <c r="AE6" s="74">
        <v>3.0</v>
      </c>
      <c r="AF6" s="72">
        <v>1.0</v>
      </c>
      <c r="AG6" s="72">
        <v>0.0</v>
      </c>
      <c r="AH6" s="72">
        <v>0.0</v>
      </c>
      <c r="AI6" s="72">
        <v>0.0</v>
      </c>
      <c r="AJ6" s="72">
        <v>0.0</v>
      </c>
      <c r="AK6" s="72">
        <v>0.0</v>
      </c>
      <c r="AL6" s="75" t="s">
        <v>34</v>
      </c>
      <c r="AM6" s="75" t="s">
        <v>34</v>
      </c>
      <c r="AN6" s="72">
        <v>0.0</v>
      </c>
      <c r="AO6" s="72">
        <v>0.0</v>
      </c>
      <c r="AP6" s="75" t="s">
        <v>34</v>
      </c>
      <c r="AQ6" s="75" t="s">
        <v>34</v>
      </c>
      <c r="AR6" s="72">
        <v>0.0</v>
      </c>
      <c r="AS6" s="72">
        <v>0.0</v>
      </c>
      <c r="AT6" s="4">
        <v>4.0</v>
      </c>
      <c r="AX6" s="53"/>
      <c r="AY6" s="76">
        <v>56.86</v>
      </c>
      <c r="AZ6" s="77">
        <v>17.18</v>
      </c>
      <c r="BA6" s="78">
        <f t="shared" si="2"/>
        <v>21.58</v>
      </c>
      <c r="BH6" s="57"/>
      <c r="BI6" s="79">
        <v>2.75</v>
      </c>
      <c r="BJ6" s="80">
        <v>0.0</v>
      </c>
      <c r="BK6" s="81">
        <v>0.0</v>
      </c>
      <c r="BL6" s="77">
        <v>0.01</v>
      </c>
      <c r="BM6" s="82">
        <v>1.62</v>
      </c>
      <c r="BS6" s="72">
        <v>1.31</v>
      </c>
      <c r="BT6" s="72">
        <v>14.95</v>
      </c>
      <c r="BU6" s="72">
        <v>3.68</v>
      </c>
      <c r="BV6" s="72">
        <v>0.12</v>
      </c>
      <c r="BW6" s="75">
        <v>0.0</v>
      </c>
      <c r="BX6" s="72">
        <v>0.78</v>
      </c>
      <c r="BY6" s="72">
        <v>0.74</v>
      </c>
      <c r="BZ6" s="75">
        <v>0.0</v>
      </c>
      <c r="CA6" s="83">
        <f t="shared" si="1"/>
        <v>21.58</v>
      </c>
      <c r="CJ6" s="84">
        <v>4.0</v>
      </c>
      <c r="CK6" s="64"/>
      <c r="CL6" s="85">
        <v>3.0</v>
      </c>
      <c r="CM6" s="86">
        <v>0.0</v>
      </c>
      <c r="CN6" s="85">
        <v>1.0</v>
      </c>
      <c r="CO6" s="86">
        <v>0.0</v>
      </c>
      <c r="CP6" s="85">
        <v>0.0</v>
      </c>
      <c r="CQ6" s="86">
        <v>0.0</v>
      </c>
      <c r="CR6" s="85">
        <v>0.0</v>
      </c>
      <c r="CS6" s="87">
        <v>0.0</v>
      </c>
      <c r="CT6" s="41"/>
      <c r="CU6" s="41"/>
      <c r="CV6" s="53"/>
      <c r="CW6" s="88">
        <v>3.0</v>
      </c>
      <c r="CX6" s="85">
        <v>1.0</v>
      </c>
      <c r="CY6" s="86">
        <v>0.0</v>
      </c>
      <c r="CZ6" s="85">
        <v>0.0</v>
      </c>
      <c r="DA6" s="41"/>
      <c r="DB6" s="41"/>
      <c r="DC6" s="53"/>
      <c r="DD6" s="88">
        <v>3.0</v>
      </c>
      <c r="DE6" s="85">
        <v>1.0</v>
      </c>
      <c r="DF6" s="87">
        <v>0.0</v>
      </c>
    </row>
    <row r="7" ht="12.0" customHeight="1">
      <c r="A7" s="64"/>
      <c r="C7" s="57"/>
      <c r="E7" s="70">
        <v>5.0</v>
      </c>
      <c r="F7" s="71" t="s">
        <v>41</v>
      </c>
      <c r="G7" s="70" t="s">
        <v>42</v>
      </c>
      <c r="H7" s="70">
        <v>6.0</v>
      </c>
      <c r="J7" s="72">
        <v>5.0</v>
      </c>
      <c r="K7" s="73" t="s">
        <v>41</v>
      </c>
      <c r="L7" s="72">
        <v>22.9</v>
      </c>
      <c r="M7" s="89">
        <v>23.81</v>
      </c>
      <c r="N7" s="72">
        <v>14.6</v>
      </c>
      <c r="O7" s="72">
        <v>2.72</v>
      </c>
      <c r="P7" s="72">
        <v>2.15</v>
      </c>
      <c r="Q7" s="72">
        <v>3.43</v>
      </c>
      <c r="R7" s="72">
        <v>21.64</v>
      </c>
      <c r="S7" s="75" t="s">
        <v>34</v>
      </c>
      <c r="T7" s="72">
        <v>0.83</v>
      </c>
      <c r="U7" s="72">
        <v>0.17</v>
      </c>
      <c r="V7" s="72">
        <v>3.99</v>
      </c>
      <c r="W7" s="75" t="s">
        <v>34</v>
      </c>
      <c r="X7" s="75" t="s">
        <v>34</v>
      </c>
      <c r="Y7" s="72">
        <v>0.46</v>
      </c>
      <c r="Z7" s="72">
        <v>3.3</v>
      </c>
      <c r="AA7" s="4">
        <v>67.39</v>
      </c>
      <c r="AC7" s="72">
        <v>5.0</v>
      </c>
      <c r="AD7" s="73" t="s">
        <v>41</v>
      </c>
      <c r="AE7" s="74">
        <v>2.0</v>
      </c>
      <c r="AF7" s="89">
        <v>2.0</v>
      </c>
      <c r="AG7" s="72">
        <v>1.0</v>
      </c>
      <c r="AH7" s="72">
        <v>0.0</v>
      </c>
      <c r="AI7" s="72">
        <v>0.0</v>
      </c>
      <c r="AJ7" s="72">
        <v>0.0</v>
      </c>
      <c r="AK7" s="72">
        <v>1.0</v>
      </c>
      <c r="AL7" s="75" t="s">
        <v>34</v>
      </c>
      <c r="AM7" s="72">
        <v>0.0</v>
      </c>
      <c r="AN7" s="72">
        <v>0.0</v>
      </c>
      <c r="AO7" s="72">
        <v>0.0</v>
      </c>
      <c r="AP7" s="75" t="s">
        <v>34</v>
      </c>
      <c r="AQ7" s="75" t="s">
        <v>34</v>
      </c>
      <c r="AR7" s="72">
        <v>0.0</v>
      </c>
      <c r="AS7" s="72">
        <v>0.0</v>
      </c>
      <c r="AT7" s="4">
        <v>6.0</v>
      </c>
      <c r="AX7" s="53"/>
      <c r="AY7" s="90">
        <v>22.9</v>
      </c>
      <c r="AZ7" s="91">
        <v>23.81</v>
      </c>
      <c r="BA7" s="78">
        <f t="shared" si="2"/>
        <v>27.89</v>
      </c>
      <c r="BH7" s="57"/>
      <c r="BI7" s="79">
        <v>21.64</v>
      </c>
      <c r="BJ7" s="80">
        <v>0.0</v>
      </c>
      <c r="BK7" s="81">
        <v>0.0</v>
      </c>
      <c r="BL7" s="77">
        <v>0.46</v>
      </c>
      <c r="BM7" s="82">
        <v>3.3</v>
      </c>
      <c r="BS7" s="72">
        <v>14.6</v>
      </c>
      <c r="BT7" s="72">
        <v>2.72</v>
      </c>
      <c r="BU7" s="72">
        <v>2.15</v>
      </c>
      <c r="BV7" s="72">
        <v>3.43</v>
      </c>
      <c r="BW7" s="72">
        <v>0.83</v>
      </c>
      <c r="BX7" s="72">
        <v>0.17</v>
      </c>
      <c r="BY7" s="72">
        <v>3.99</v>
      </c>
      <c r="BZ7" s="75">
        <v>0.0</v>
      </c>
      <c r="CA7" s="83">
        <f t="shared" si="1"/>
        <v>27.89</v>
      </c>
      <c r="CJ7" s="84">
        <v>5.0</v>
      </c>
      <c r="CK7" s="64"/>
      <c r="CL7" s="85">
        <v>1.0</v>
      </c>
      <c r="CM7" s="86">
        <v>2.0</v>
      </c>
      <c r="CN7" s="85">
        <v>2.0</v>
      </c>
      <c r="CO7" s="86">
        <v>1.0</v>
      </c>
      <c r="CP7" s="85">
        <v>0.0</v>
      </c>
      <c r="CQ7" s="86">
        <v>0.0</v>
      </c>
      <c r="CR7" s="85">
        <v>0.0</v>
      </c>
      <c r="CS7" s="87">
        <v>0.0</v>
      </c>
      <c r="CT7" s="41"/>
      <c r="CU7" s="41"/>
      <c r="CV7" s="53"/>
      <c r="CW7" s="88">
        <v>1.0</v>
      </c>
      <c r="CX7" s="85">
        <v>2.0</v>
      </c>
      <c r="CY7" s="86">
        <v>2.0</v>
      </c>
      <c r="CZ7" s="85">
        <v>1.0</v>
      </c>
      <c r="DA7" s="41"/>
      <c r="DB7" s="41"/>
      <c r="DC7" s="53"/>
      <c r="DD7" s="88">
        <v>3.0</v>
      </c>
      <c r="DE7" s="85">
        <v>2.0</v>
      </c>
      <c r="DF7" s="87">
        <v>1.0</v>
      </c>
    </row>
    <row r="8" ht="12.0" customHeight="1">
      <c r="A8" s="48">
        <v>2.0</v>
      </c>
      <c r="C8" s="49"/>
      <c r="E8" s="70">
        <v>6.0</v>
      </c>
      <c r="F8" s="71" t="s">
        <v>43</v>
      </c>
      <c r="G8" s="70" t="s">
        <v>44</v>
      </c>
      <c r="H8" s="70">
        <v>4.0</v>
      </c>
      <c r="J8" s="72">
        <v>6.0</v>
      </c>
      <c r="K8" s="73" t="s">
        <v>43</v>
      </c>
      <c r="L8" s="74">
        <v>27.32</v>
      </c>
      <c r="M8" s="72">
        <v>26.11</v>
      </c>
      <c r="N8" s="72">
        <v>21.01</v>
      </c>
      <c r="O8" s="72">
        <v>12.27</v>
      </c>
      <c r="P8" s="72">
        <v>2.82</v>
      </c>
      <c r="Q8" s="72">
        <v>1.1</v>
      </c>
      <c r="R8" s="72">
        <v>3.37</v>
      </c>
      <c r="S8" s="75" t="s">
        <v>34</v>
      </c>
      <c r="T8" s="72">
        <v>4.32</v>
      </c>
      <c r="U8" s="75" t="s">
        <v>34</v>
      </c>
      <c r="V8" s="72">
        <v>0.49</v>
      </c>
      <c r="W8" s="75" t="s">
        <v>34</v>
      </c>
      <c r="X8" s="75" t="s">
        <v>34</v>
      </c>
      <c r="Y8" s="72">
        <v>0.11</v>
      </c>
      <c r="Z8" s="72">
        <v>1.08</v>
      </c>
      <c r="AA8" s="4">
        <v>65.85</v>
      </c>
      <c r="AC8" s="72">
        <v>6.0</v>
      </c>
      <c r="AD8" s="73" t="s">
        <v>43</v>
      </c>
      <c r="AE8" s="74">
        <v>2.0</v>
      </c>
      <c r="AF8" s="72">
        <v>1.0</v>
      </c>
      <c r="AG8" s="72">
        <v>1.0</v>
      </c>
      <c r="AH8" s="72">
        <v>0.0</v>
      </c>
      <c r="AI8" s="72">
        <v>0.0</v>
      </c>
      <c r="AJ8" s="72">
        <v>0.0</v>
      </c>
      <c r="AK8" s="72">
        <v>0.0</v>
      </c>
      <c r="AL8" s="75" t="s">
        <v>34</v>
      </c>
      <c r="AM8" s="72">
        <v>0.0</v>
      </c>
      <c r="AN8" s="75" t="s">
        <v>34</v>
      </c>
      <c r="AO8" s="72">
        <v>0.0</v>
      </c>
      <c r="AP8" s="75" t="s">
        <v>34</v>
      </c>
      <c r="AQ8" s="75" t="s">
        <v>34</v>
      </c>
      <c r="AR8" s="72">
        <v>0.0</v>
      </c>
      <c r="AS8" s="72">
        <v>0.0</v>
      </c>
      <c r="AT8" s="4">
        <v>4.0</v>
      </c>
      <c r="AX8" s="53"/>
      <c r="AY8" s="76">
        <v>27.32</v>
      </c>
      <c r="AZ8" s="77">
        <v>26.11</v>
      </c>
      <c r="BA8" s="78">
        <f t="shared" si="2"/>
        <v>42.01</v>
      </c>
      <c r="BH8" s="57"/>
      <c r="BI8" s="79">
        <v>3.37</v>
      </c>
      <c r="BJ8" s="80">
        <v>0.0</v>
      </c>
      <c r="BK8" s="81">
        <v>0.0</v>
      </c>
      <c r="BL8" s="77">
        <v>0.11</v>
      </c>
      <c r="BM8" s="82">
        <v>1.08</v>
      </c>
      <c r="BS8" s="72">
        <v>21.01</v>
      </c>
      <c r="BT8" s="72">
        <v>12.27</v>
      </c>
      <c r="BU8" s="72">
        <v>2.82</v>
      </c>
      <c r="BV8" s="72">
        <v>1.1</v>
      </c>
      <c r="BW8" s="72">
        <v>4.32</v>
      </c>
      <c r="BX8" s="75">
        <v>0.0</v>
      </c>
      <c r="BY8" s="72">
        <v>0.49</v>
      </c>
      <c r="BZ8" s="75">
        <v>0.0</v>
      </c>
      <c r="CA8" s="83">
        <f t="shared" si="1"/>
        <v>42.01</v>
      </c>
      <c r="CJ8" s="84">
        <v>6.0</v>
      </c>
      <c r="CK8" s="64"/>
      <c r="CL8" s="85">
        <v>1.0</v>
      </c>
      <c r="CM8" s="86">
        <v>1.0</v>
      </c>
      <c r="CN8" s="85">
        <v>2.0</v>
      </c>
      <c r="CO8" s="86">
        <v>0.0</v>
      </c>
      <c r="CP8" s="85">
        <v>0.0</v>
      </c>
      <c r="CQ8" s="86">
        <v>0.0</v>
      </c>
      <c r="CR8" s="85">
        <v>0.0</v>
      </c>
      <c r="CS8" s="87">
        <v>0.0</v>
      </c>
      <c r="CT8" s="41"/>
      <c r="CU8" s="41"/>
      <c r="CV8" s="53"/>
      <c r="CW8" s="88">
        <v>1.0</v>
      </c>
      <c r="CX8" s="85">
        <v>2.0</v>
      </c>
      <c r="CY8" s="86">
        <v>1.0</v>
      </c>
      <c r="CZ8" s="85">
        <v>0.0</v>
      </c>
      <c r="DA8" s="41"/>
      <c r="DB8" s="41"/>
      <c r="DC8" s="53"/>
      <c r="DD8" s="88">
        <v>1.0</v>
      </c>
      <c r="DE8" s="85">
        <v>2.0</v>
      </c>
      <c r="DF8" s="87">
        <v>1.0</v>
      </c>
    </row>
    <row r="9" ht="12.0" customHeight="1">
      <c r="A9" s="92" t="s">
        <v>45</v>
      </c>
      <c r="C9" s="57"/>
      <c r="E9" s="70">
        <v>7.0</v>
      </c>
      <c r="F9" s="71" t="s">
        <v>46</v>
      </c>
      <c r="G9" s="70" t="s">
        <v>47</v>
      </c>
      <c r="H9" s="70">
        <v>4.0</v>
      </c>
      <c r="J9" s="72">
        <v>7.0</v>
      </c>
      <c r="K9" s="73" t="s">
        <v>46</v>
      </c>
      <c r="L9" s="74">
        <v>56.06</v>
      </c>
      <c r="M9" s="72">
        <v>10.7</v>
      </c>
      <c r="N9" s="72">
        <v>7.15</v>
      </c>
      <c r="O9" s="72">
        <v>13.2</v>
      </c>
      <c r="P9" s="72">
        <v>6.72</v>
      </c>
      <c r="Q9" s="75" t="s">
        <v>34</v>
      </c>
      <c r="R9" s="72">
        <v>3.84</v>
      </c>
      <c r="S9" s="75" t="s">
        <v>34</v>
      </c>
      <c r="T9" s="75" t="s">
        <v>34</v>
      </c>
      <c r="U9" s="72">
        <v>1.23</v>
      </c>
      <c r="V9" s="72">
        <v>0.44</v>
      </c>
      <c r="W9" s="75" t="s">
        <v>34</v>
      </c>
      <c r="X9" s="75" t="s">
        <v>34</v>
      </c>
      <c r="Y9" s="72">
        <v>0.12</v>
      </c>
      <c r="Z9" s="72">
        <v>0.54</v>
      </c>
      <c r="AA9" s="4">
        <v>78.54</v>
      </c>
      <c r="AC9" s="72">
        <v>7.0</v>
      </c>
      <c r="AD9" s="73" t="s">
        <v>46</v>
      </c>
      <c r="AE9" s="74">
        <v>4.0</v>
      </c>
      <c r="AF9" s="72">
        <v>0.0</v>
      </c>
      <c r="AG9" s="72">
        <v>0.0</v>
      </c>
      <c r="AH9" s="72">
        <v>0.0</v>
      </c>
      <c r="AI9" s="72">
        <v>0.0</v>
      </c>
      <c r="AJ9" s="75" t="s">
        <v>34</v>
      </c>
      <c r="AK9" s="72">
        <v>0.0</v>
      </c>
      <c r="AL9" s="75" t="s">
        <v>34</v>
      </c>
      <c r="AM9" s="75" t="s">
        <v>34</v>
      </c>
      <c r="AN9" s="72">
        <v>0.0</v>
      </c>
      <c r="AO9" s="72">
        <v>0.0</v>
      </c>
      <c r="AP9" s="75" t="s">
        <v>34</v>
      </c>
      <c r="AQ9" s="75" t="s">
        <v>34</v>
      </c>
      <c r="AR9" s="72">
        <v>0.0</v>
      </c>
      <c r="AS9" s="72">
        <v>0.0</v>
      </c>
      <c r="AT9" s="4">
        <v>4.0</v>
      </c>
      <c r="AX9" s="53"/>
      <c r="AY9" s="76">
        <v>56.06</v>
      </c>
      <c r="AZ9" s="77">
        <v>10.7</v>
      </c>
      <c r="BA9" s="78">
        <f t="shared" si="2"/>
        <v>28.74</v>
      </c>
      <c r="BH9" s="57"/>
      <c r="BI9" s="79">
        <v>3.84</v>
      </c>
      <c r="BJ9" s="80">
        <v>0.0</v>
      </c>
      <c r="BK9" s="81">
        <v>0.0</v>
      </c>
      <c r="BL9" s="77">
        <v>0.12</v>
      </c>
      <c r="BM9" s="82">
        <v>0.54</v>
      </c>
      <c r="BS9" s="72">
        <v>7.15</v>
      </c>
      <c r="BT9" s="72">
        <v>13.2</v>
      </c>
      <c r="BU9" s="72">
        <v>6.72</v>
      </c>
      <c r="BV9" s="75">
        <v>0.0</v>
      </c>
      <c r="BW9" s="75">
        <v>0.0</v>
      </c>
      <c r="BX9" s="72">
        <v>1.23</v>
      </c>
      <c r="BY9" s="72">
        <v>0.44</v>
      </c>
      <c r="BZ9" s="75">
        <v>0.0</v>
      </c>
      <c r="CA9" s="83">
        <f t="shared" si="1"/>
        <v>28.74</v>
      </c>
      <c r="CJ9" s="84">
        <v>7.0</v>
      </c>
      <c r="CK9" s="64"/>
      <c r="CL9" s="85">
        <v>3.0</v>
      </c>
      <c r="CM9" s="86">
        <v>0.0</v>
      </c>
      <c r="CN9" s="85">
        <v>1.0</v>
      </c>
      <c r="CO9" s="86">
        <v>0.0</v>
      </c>
      <c r="CP9" s="85">
        <v>0.0</v>
      </c>
      <c r="CQ9" s="86">
        <v>0.0</v>
      </c>
      <c r="CR9" s="85">
        <v>0.0</v>
      </c>
      <c r="CS9" s="87">
        <v>0.0</v>
      </c>
      <c r="CT9" s="41"/>
      <c r="CU9" s="41"/>
      <c r="CV9" s="53"/>
      <c r="CW9" s="88">
        <v>3.0</v>
      </c>
      <c r="CX9" s="85">
        <v>1.0</v>
      </c>
      <c r="CY9" s="86">
        <v>0.0</v>
      </c>
      <c r="CZ9" s="85">
        <v>0.0</v>
      </c>
      <c r="DA9" s="41"/>
      <c r="DB9" s="41"/>
      <c r="DC9" s="53"/>
      <c r="DD9" s="88">
        <v>3.0</v>
      </c>
      <c r="DE9" s="85">
        <v>1.0</v>
      </c>
      <c r="DF9" s="87">
        <v>0.0</v>
      </c>
    </row>
    <row r="10" ht="12.0" customHeight="1">
      <c r="A10" s="64"/>
      <c r="C10" s="57"/>
      <c r="E10" s="70">
        <v>8.0</v>
      </c>
      <c r="F10" s="71" t="s">
        <v>48</v>
      </c>
      <c r="G10" s="70" t="s">
        <v>49</v>
      </c>
      <c r="H10" s="70">
        <v>5.0</v>
      </c>
      <c r="J10" s="72">
        <v>8.0</v>
      </c>
      <c r="K10" s="73" t="s">
        <v>48</v>
      </c>
      <c r="L10" s="74">
        <v>55.18</v>
      </c>
      <c r="M10" s="72">
        <v>9.27</v>
      </c>
      <c r="N10" s="72">
        <v>6.05</v>
      </c>
      <c r="O10" s="72">
        <v>13.89</v>
      </c>
      <c r="P10" s="72">
        <v>10.72</v>
      </c>
      <c r="Q10" s="72">
        <v>0.24</v>
      </c>
      <c r="R10" s="72">
        <v>2.99</v>
      </c>
      <c r="S10" s="75" t="s">
        <v>34</v>
      </c>
      <c r="T10" s="72">
        <v>0.47</v>
      </c>
      <c r="U10" s="72">
        <v>0.67</v>
      </c>
      <c r="V10" s="72">
        <v>0.52</v>
      </c>
      <c r="W10" s="75" t="s">
        <v>34</v>
      </c>
      <c r="X10" s="75" t="s">
        <v>34</v>
      </c>
      <c r="Y10" s="72">
        <v>0.0</v>
      </c>
      <c r="Z10" s="72">
        <v>0.0</v>
      </c>
      <c r="AA10" s="4">
        <v>82.78</v>
      </c>
      <c r="AC10" s="72">
        <v>8.0</v>
      </c>
      <c r="AD10" s="73" t="s">
        <v>48</v>
      </c>
      <c r="AE10" s="74">
        <v>4.0</v>
      </c>
      <c r="AF10" s="72">
        <v>0.0</v>
      </c>
      <c r="AG10" s="72">
        <v>0.0</v>
      </c>
      <c r="AH10" s="72">
        <v>1.0</v>
      </c>
      <c r="AI10" s="72">
        <v>0.0</v>
      </c>
      <c r="AJ10" s="72">
        <v>0.0</v>
      </c>
      <c r="AK10" s="72">
        <v>0.0</v>
      </c>
      <c r="AL10" s="75" t="s">
        <v>34</v>
      </c>
      <c r="AM10" s="72">
        <v>0.0</v>
      </c>
      <c r="AN10" s="72">
        <v>0.0</v>
      </c>
      <c r="AO10" s="72">
        <v>0.0</v>
      </c>
      <c r="AP10" s="75" t="s">
        <v>34</v>
      </c>
      <c r="AQ10" s="75" t="s">
        <v>34</v>
      </c>
      <c r="AR10" s="72">
        <v>0.0</v>
      </c>
      <c r="AS10" s="72">
        <v>0.0</v>
      </c>
      <c r="AT10" s="4">
        <v>5.0</v>
      </c>
      <c r="AX10" s="53"/>
      <c r="AY10" s="76">
        <v>55.18</v>
      </c>
      <c r="AZ10" s="77">
        <v>9.27</v>
      </c>
      <c r="BA10" s="78">
        <f t="shared" si="2"/>
        <v>32.56</v>
      </c>
      <c r="BH10" s="57"/>
      <c r="BI10" s="79">
        <v>2.99</v>
      </c>
      <c r="BJ10" s="80">
        <v>0.0</v>
      </c>
      <c r="BK10" s="81">
        <v>0.0</v>
      </c>
      <c r="BL10" s="77">
        <v>0.0</v>
      </c>
      <c r="BM10" s="82">
        <v>0.0</v>
      </c>
      <c r="BS10" s="72">
        <v>6.05</v>
      </c>
      <c r="BT10" s="72">
        <v>13.89</v>
      </c>
      <c r="BU10" s="72">
        <v>10.72</v>
      </c>
      <c r="BV10" s="72">
        <v>0.24</v>
      </c>
      <c r="BW10" s="72">
        <v>0.47</v>
      </c>
      <c r="BX10" s="72">
        <v>0.67</v>
      </c>
      <c r="BY10" s="72">
        <v>0.52</v>
      </c>
      <c r="BZ10" s="75">
        <v>0.0</v>
      </c>
      <c r="CA10" s="83">
        <f t="shared" si="1"/>
        <v>32.56</v>
      </c>
      <c r="CJ10" s="84">
        <v>8.0</v>
      </c>
      <c r="CK10" s="64"/>
      <c r="CL10" s="85">
        <v>3.0</v>
      </c>
      <c r="CM10" s="86">
        <v>0.0</v>
      </c>
      <c r="CN10" s="85">
        <v>2.0</v>
      </c>
      <c r="CO10" s="86">
        <v>0.0</v>
      </c>
      <c r="CP10" s="85">
        <v>0.0</v>
      </c>
      <c r="CQ10" s="86">
        <v>0.0</v>
      </c>
      <c r="CR10" s="85">
        <v>0.0</v>
      </c>
      <c r="CS10" s="87">
        <v>0.0</v>
      </c>
      <c r="CT10" s="41"/>
      <c r="CU10" s="41"/>
      <c r="CV10" s="53"/>
      <c r="CW10" s="88">
        <v>3.0</v>
      </c>
      <c r="CX10" s="85">
        <v>2.0</v>
      </c>
      <c r="CY10" s="86">
        <v>0.0</v>
      </c>
      <c r="CZ10" s="85">
        <v>0.0</v>
      </c>
      <c r="DA10" s="41"/>
      <c r="DB10" s="41"/>
      <c r="DC10" s="53"/>
      <c r="DD10" s="88">
        <v>3.0</v>
      </c>
      <c r="DE10" s="85">
        <v>2.0</v>
      </c>
      <c r="DF10" s="87">
        <v>0.0</v>
      </c>
    </row>
    <row r="11" ht="12.0" customHeight="1">
      <c r="A11" s="64"/>
      <c r="C11" s="57"/>
      <c r="E11" s="70">
        <v>9.0</v>
      </c>
      <c r="F11" s="71" t="s">
        <v>50</v>
      </c>
      <c r="G11" s="70" t="s">
        <v>51</v>
      </c>
      <c r="H11" s="70">
        <v>5.0</v>
      </c>
      <c r="J11" s="72">
        <v>9.0</v>
      </c>
      <c r="K11" s="73" t="s">
        <v>50</v>
      </c>
      <c r="L11" s="74">
        <v>46.91</v>
      </c>
      <c r="M11" s="72">
        <v>12.95</v>
      </c>
      <c r="N11" s="72">
        <v>5.0</v>
      </c>
      <c r="O11" s="72">
        <v>13.27</v>
      </c>
      <c r="P11" s="72">
        <v>18.36</v>
      </c>
      <c r="Q11" s="72">
        <v>0.16</v>
      </c>
      <c r="R11" s="72">
        <v>1.33</v>
      </c>
      <c r="S11" s="75" t="s">
        <v>34</v>
      </c>
      <c r="T11" s="72">
        <v>0.79</v>
      </c>
      <c r="U11" s="75" t="s">
        <v>34</v>
      </c>
      <c r="V11" s="72">
        <v>0.45</v>
      </c>
      <c r="W11" s="75" t="s">
        <v>34</v>
      </c>
      <c r="X11" s="75" t="s">
        <v>34</v>
      </c>
      <c r="Y11" s="75" t="s">
        <v>34</v>
      </c>
      <c r="Z11" s="72">
        <v>0.78</v>
      </c>
      <c r="AA11" s="4">
        <v>83.31</v>
      </c>
      <c r="AC11" s="72">
        <v>9.0</v>
      </c>
      <c r="AD11" s="73" t="s">
        <v>50</v>
      </c>
      <c r="AE11" s="74">
        <v>3.0</v>
      </c>
      <c r="AF11" s="72">
        <v>0.0</v>
      </c>
      <c r="AG11" s="72">
        <v>0.0</v>
      </c>
      <c r="AH11" s="72">
        <v>1.0</v>
      </c>
      <c r="AI11" s="72">
        <v>1.0</v>
      </c>
      <c r="AJ11" s="72">
        <v>0.0</v>
      </c>
      <c r="AK11" s="72">
        <v>0.0</v>
      </c>
      <c r="AL11" s="75" t="s">
        <v>34</v>
      </c>
      <c r="AM11" s="72">
        <v>0.0</v>
      </c>
      <c r="AN11" s="75" t="s">
        <v>34</v>
      </c>
      <c r="AO11" s="72">
        <v>0.0</v>
      </c>
      <c r="AP11" s="75" t="s">
        <v>34</v>
      </c>
      <c r="AQ11" s="75" t="s">
        <v>34</v>
      </c>
      <c r="AR11" s="75" t="s">
        <v>34</v>
      </c>
      <c r="AS11" s="72">
        <v>0.0</v>
      </c>
      <c r="AT11" s="4">
        <v>5.0</v>
      </c>
      <c r="AX11" s="53"/>
      <c r="AY11" s="76">
        <v>46.91</v>
      </c>
      <c r="AZ11" s="77">
        <v>12.95</v>
      </c>
      <c r="BA11" s="78">
        <f t="shared" si="2"/>
        <v>38.03</v>
      </c>
      <c r="BH11" s="57"/>
      <c r="BI11" s="79">
        <v>1.33</v>
      </c>
      <c r="BJ11" s="80">
        <v>0.0</v>
      </c>
      <c r="BK11" s="81">
        <v>0.0</v>
      </c>
      <c r="BL11" s="80">
        <v>0.0</v>
      </c>
      <c r="BM11" s="82">
        <v>0.78</v>
      </c>
      <c r="BS11" s="72">
        <v>5.0</v>
      </c>
      <c r="BT11" s="72">
        <v>13.27</v>
      </c>
      <c r="BU11" s="72">
        <v>18.36</v>
      </c>
      <c r="BV11" s="72">
        <v>0.16</v>
      </c>
      <c r="BW11" s="72">
        <v>0.79</v>
      </c>
      <c r="BX11" s="75">
        <v>0.0</v>
      </c>
      <c r="BY11" s="72">
        <v>0.45</v>
      </c>
      <c r="BZ11" s="75">
        <v>0.0</v>
      </c>
      <c r="CA11" s="83">
        <f t="shared" si="1"/>
        <v>38.03</v>
      </c>
      <c r="CJ11" s="84">
        <v>9.0</v>
      </c>
      <c r="CK11" s="64"/>
      <c r="CL11" s="85">
        <v>3.0</v>
      </c>
      <c r="CM11" s="86">
        <v>0.0</v>
      </c>
      <c r="CN11" s="85">
        <v>2.0</v>
      </c>
      <c r="CO11" s="86">
        <v>0.0</v>
      </c>
      <c r="CP11" s="85">
        <v>0.0</v>
      </c>
      <c r="CQ11" s="86">
        <v>0.0</v>
      </c>
      <c r="CR11" s="85">
        <v>0.0</v>
      </c>
      <c r="CS11" s="87">
        <v>0.0</v>
      </c>
      <c r="CT11" s="41"/>
      <c r="CU11" s="41"/>
      <c r="CV11" s="53"/>
      <c r="CW11" s="88">
        <v>3.0</v>
      </c>
      <c r="CX11" s="85">
        <v>2.0</v>
      </c>
      <c r="CY11" s="86">
        <v>0.0</v>
      </c>
      <c r="CZ11" s="85">
        <v>0.0</v>
      </c>
      <c r="DA11" s="41"/>
      <c r="DB11" s="41"/>
      <c r="DC11" s="53"/>
      <c r="DD11" s="88">
        <v>3.0</v>
      </c>
      <c r="DE11" s="85">
        <v>2.0</v>
      </c>
      <c r="DF11" s="87">
        <v>0.0</v>
      </c>
    </row>
    <row r="12" ht="12.0" customHeight="1">
      <c r="A12" s="64"/>
      <c r="C12" s="57"/>
      <c r="E12" s="70">
        <v>10.0</v>
      </c>
      <c r="F12" s="71" t="s">
        <v>52</v>
      </c>
      <c r="G12" s="70" t="s">
        <v>53</v>
      </c>
      <c r="H12" s="70">
        <v>5.0</v>
      </c>
      <c r="J12" s="72">
        <v>10.0</v>
      </c>
      <c r="K12" s="73" t="s">
        <v>52</v>
      </c>
      <c r="L12" s="74">
        <v>40.59</v>
      </c>
      <c r="M12" s="72">
        <v>15.53</v>
      </c>
      <c r="N12" s="72">
        <v>3.26</v>
      </c>
      <c r="O12" s="72">
        <v>16.34</v>
      </c>
      <c r="P12" s="72">
        <v>16.85</v>
      </c>
      <c r="Q12" s="72">
        <v>0.47</v>
      </c>
      <c r="R12" s="72">
        <v>5.47</v>
      </c>
      <c r="S12" s="75" t="s">
        <v>34</v>
      </c>
      <c r="T12" s="75" t="s">
        <v>34</v>
      </c>
      <c r="U12" s="72">
        <v>0.03</v>
      </c>
      <c r="V12" s="72">
        <v>0.95</v>
      </c>
      <c r="W12" s="75" t="s">
        <v>34</v>
      </c>
      <c r="X12" s="75" t="s">
        <v>34</v>
      </c>
      <c r="Y12" s="72">
        <v>0.11</v>
      </c>
      <c r="Z12" s="72">
        <v>0.4</v>
      </c>
      <c r="AA12" s="4">
        <v>81.7</v>
      </c>
      <c r="AC12" s="72">
        <v>10.0</v>
      </c>
      <c r="AD12" s="73" t="s">
        <v>52</v>
      </c>
      <c r="AE12" s="74">
        <v>2.0</v>
      </c>
      <c r="AF12" s="72">
        <v>1.0</v>
      </c>
      <c r="AG12" s="72">
        <v>0.0</v>
      </c>
      <c r="AH12" s="72">
        <v>1.0</v>
      </c>
      <c r="AI12" s="72">
        <v>1.0</v>
      </c>
      <c r="AJ12" s="72">
        <v>0.0</v>
      </c>
      <c r="AK12" s="72">
        <v>0.0</v>
      </c>
      <c r="AL12" s="75" t="s">
        <v>34</v>
      </c>
      <c r="AM12" s="75" t="s">
        <v>34</v>
      </c>
      <c r="AN12" s="72">
        <v>0.0</v>
      </c>
      <c r="AO12" s="72">
        <v>0.0</v>
      </c>
      <c r="AP12" s="75" t="s">
        <v>34</v>
      </c>
      <c r="AQ12" s="75" t="s">
        <v>34</v>
      </c>
      <c r="AR12" s="72">
        <v>0.0</v>
      </c>
      <c r="AS12" s="72">
        <v>0.0</v>
      </c>
      <c r="AT12" s="4">
        <v>5.0</v>
      </c>
      <c r="AX12" s="53"/>
      <c r="AY12" s="76">
        <v>40.59</v>
      </c>
      <c r="AZ12" s="77">
        <v>15.53</v>
      </c>
      <c r="BA12" s="78">
        <f t="shared" si="2"/>
        <v>37.9</v>
      </c>
      <c r="BH12" s="57"/>
      <c r="BI12" s="79">
        <v>5.47</v>
      </c>
      <c r="BJ12" s="80">
        <v>0.0</v>
      </c>
      <c r="BK12" s="81">
        <v>0.0</v>
      </c>
      <c r="BL12" s="77">
        <v>0.11</v>
      </c>
      <c r="BM12" s="82">
        <v>0.4</v>
      </c>
      <c r="BS12" s="72">
        <v>3.26</v>
      </c>
      <c r="BT12" s="72">
        <v>16.34</v>
      </c>
      <c r="BU12" s="72">
        <v>16.85</v>
      </c>
      <c r="BV12" s="72">
        <v>0.47</v>
      </c>
      <c r="BW12" s="75">
        <v>0.0</v>
      </c>
      <c r="BX12" s="72">
        <v>0.03</v>
      </c>
      <c r="BY12" s="72">
        <v>0.95</v>
      </c>
      <c r="BZ12" s="75">
        <v>0.0</v>
      </c>
      <c r="CA12" s="83">
        <f t="shared" si="1"/>
        <v>37.9</v>
      </c>
      <c r="CJ12" s="84">
        <v>10.0</v>
      </c>
      <c r="CK12" s="64"/>
      <c r="CL12" s="85">
        <v>2.0</v>
      </c>
      <c r="CM12" s="86">
        <v>1.0</v>
      </c>
      <c r="CN12" s="85">
        <v>2.0</v>
      </c>
      <c r="CO12" s="86">
        <v>0.0</v>
      </c>
      <c r="CP12" s="85">
        <v>0.0</v>
      </c>
      <c r="CQ12" s="86">
        <v>0.0</v>
      </c>
      <c r="CR12" s="85">
        <v>0.0</v>
      </c>
      <c r="CS12" s="87">
        <v>0.0</v>
      </c>
      <c r="CT12" s="41"/>
      <c r="CU12" s="41"/>
      <c r="CV12" s="53"/>
      <c r="CW12" s="88">
        <v>2.0</v>
      </c>
      <c r="CX12" s="85">
        <v>2.0</v>
      </c>
      <c r="CY12" s="86">
        <v>1.0</v>
      </c>
      <c r="CZ12" s="85">
        <v>0.0</v>
      </c>
      <c r="DA12" s="41"/>
      <c r="DB12" s="41"/>
      <c r="DC12" s="53"/>
      <c r="DD12" s="88">
        <v>2.0</v>
      </c>
      <c r="DE12" s="85">
        <v>2.0</v>
      </c>
      <c r="DF12" s="87">
        <v>1.0</v>
      </c>
    </row>
    <row r="13" ht="12.0" customHeight="1">
      <c r="A13" s="64"/>
      <c r="C13" s="57"/>
      <c r="E13" s="70">
        <v>11.0</v>
      </c>
      <c r="F13" s="71" t="s">
        <v>54</v>
      </c>
      <c r="G13" s="70" t="s">
        <v>55</v>
      </c>
      <c r="H13" s="70">
        <v>5.0</v>
      </c>
      <c r="J13" s="72">
        <v>11.0</v>
      </c>
      <c r="K13" s="73" t="s">
        <v>54</v>
      </c>
      <c r="L13" s="74">
        <v>34.79</v>
      </c>
      <c r="M13" s="72">
        <v>10.2</v>
      </c>
      <c r="N13" s="72">
        <v>22.8</v>
      </c>
      <c r="O13" s="72">
        <v>10.21</v>
      </c>
      <c r="P13" s="72">
        <v>17.69</v>
      </c>
      <c r="Q13" s="72">
        <v>0.48</v>
      </c>
      <c r="R13" s="72">
        <v>1.08</v>
      </c>
      <c r="S13" s="75" t="s">
        <v>34</v>
      </c>
      <c r="T13" s="72">
        <v>0.72</v>
      </c>
      <c r="U13" s="72">
        <v>0.66</v>
      </c>
      <c r="V13" s="72">
        <v>0.84</v>
      </c>
      <c r="W13" s="75" t="s">
        <v>34</v>
      </c>
      <c r="X13" s="75" t="s">
        <v>34</v>
      </c>
      <c r="Y13" s="72">
        <v>0.3</v>
      </c>
      <c r="Z13" s="72">
        <v>0.23</v>
      </c>
      <c r="AA13" s="4">
        <v>84.2</v>
      </c>
      <c r="AC13" s="72">
        <v>11.0</v>
      </c>
      <c r="AD13" s="73" t="s">
        <v>54</v>
      </c>
      <c r="AE13" s="74">
        <v>3.0</v>
      </c>
      <c r="AF13" s="72">
        <v>0.0</v>
      </c>
      <c r="AG13" s="72">
        <v>1.0</v>
      </c>
      <c r="AH13" s="72">
        <v>0.0</v>
      </c>
      <c r="AI13" s="72">
        <v>1.0</v>
      </c>
      <c r="AJ13" s="72">
        <v>0.0</v>
      </c>
      <c r="AK13" s="72">
        <v>0.0</v>
      </c>
      <c r="AL13" s="75" t="s">
        <v>34</v>
      </c>
      <c r="AM13" s="72">
        <v>0.0</v>
      </c>
      <c r="AN13" s="72">
        <v>0.0</v>
      </c>
      <c r="AO13" s="72">
        <v>0.0</v>
      </c>
      <c r="AP13" s="75" t="s">
        <v>34</v>
      </c>
      <c r="AQ13" s="75" t="s">
        <v>34</v>
      </c>
      <c r="AR13" s="72">
        <v>0.0</v>
      </c>
      <c r="AS13" s="72">
        <v>0.0</v>
      </c>
      <c r="AT13" s="4">
        <v>5.0</v>
      </c>
      <c r="AX13" s="53"/>
      <c r="AY13" s="76">
        <v>34.79</v>
      </c>
      <c r="AZ13" s="77">
        <v>10.2</v>
      </c>
      <c r="BA13" s="78">
        <f t="shared" si="2"/>
        <v>53.4</v>
      </c>
      <c r="BH13" s="57"/>
      <c r="BI13" s="79">
        <v>1.08</v>
      </c>
      <c r="BJ13" s="80">
        <v>0.0</v>
      </c>
      <c r="BK13" s="81">
        <v>0.0</v>
      </c>
      <c r="BL13" s="77">
        <v>0.3</v>
      </c>
      <c r="BM13" s="82">
        <v>0.23</v>
      </c>
      <c r="BS13" s="72">
        <v>22.8</v>
      </c>
      <c r="BT13" s="72">
        <v>10.21</v>
      </c>
      <c r="BU13" s="72">
        <v>17.69</v>
      </c>
      <c r="BV13" s="72">
        <v>0.48</v>
      </c>
      <c r="BW13" s="72">
        <v>0.72</v>
      </c>
      <c r="BX13" s="72">
        <v>0.66</v>
      </c>
      <c r="BY13" s="72">
        <v>0.84</v>
      </c>
      <c r="BZ13" s="75">
        <v>0.0</v>
      </c>
      <c r="CA13" s="83">
        <f t="shared" si="1"/>
        <v>53.4</v>
      </c>
      <c r="CJ13" s="84">
        <v>11.0</v>
      </c>
      <c r="CK13" s="64"/>
      <c r="CL13" s="85">
        <v>2.0</v>
      </c>
      <c r="CM13" s="86">
        <v>0.0</v>
      </c>
      <c r="CN13" s="85">
        <v>3.0</v>
      </c>
      <c r="CO13" s="86">
        <v>0.0</v>
      </c>
      <c r="CP13" s="85">
        <v>0.0</v>
      </c>
      <c r="CQ13" s="86">
        <v>0.0</v>
      </c>
      <c r="CR13" s="85">
        <v>0.0</v>
      </c>
      <c r="CS13" s="87">
        <v>0.0</v>
      </c>
      <c r="CT13" s="41"/>
      <c r="CU13" s="41"/>
      <c r="CV13" s="53"/>
      <c r="CW13" s="88">
        <v>2.0</v>
      </c>
      <c r="CX13" s="85">
        <v>3.0</v>
      </c>
      <c r="CY13" s="86">
        <v>0.0</v>
      </c>
      <c r="CZ13" s="85">
        <v>0.0</v>
      </c>
      <c r="DA13" s="41"/>
      <c r="DB13" s="41"/>
      <c r="DC13" s="53"/>
      <c r="DD13" s="88">
        <v>2.0</v>
      </c>
      <c r="DE13" s="85">
        <v>3.0</v>
      </c>
      <c r="DF13" s="87">
        <v>0.0</v>
      </c>
    </row>
    <row r="14" ht="12.0" customHeight="1">
      <c r="A14" s="64"/>
      <c r="C14" s="57"/>
      <c r="E14" s="70">
        <v>12.0</v>
      </c>
      <c r="F14" s="71" t="s">
        <v>56</v>
      </c>
      <c r="G14" s="70" t="s">
        <v>57</v>
      </c>
      <c r="H14" s="70">
        <v>6.0</v>
      </c>
      <c r="J14" s="72">
        <v>12.0</v>
      </c>
      <c r="K14" s="73" t="s">
        <v>56</v>
      </c>
      <c r="L14" s="74">
        <v>34.64</v>
      </c>
      <c r="M14" s="72">
        <v>8.91</v>
      </c>
      <c r="N14" s="72">
        <v>12.49</v>
      </c>
      <c r="O14" s="72">
        <v>19.57</v>
      </c>
      <c r="P14" s="72">
        <v>17.98</v>
      </c>
      <c r="Q14" s="72">
        <v>1.28</v>
      </c>
      <c r="R14" s="72">
        <v>1.29</v>
      </c>
      <c r="S14" s="75" t="s">
        <v>34</v>
      </c>
      <c r="T14" s="72">
        <v>1.41</v>
      </c>
      <c r="U14" s="75" t="s">
        <v>34</v>
      </c>
      <c r="V14" s="72">
        <v>0.89</v>
      </c>
      <c r="W14" s="75" t="s">
        <v>34</v>
      </c>
      <c r="X14" s="75" t="s">
        <v>34</v>
      </c>
      <c r="Y14" s="72">
        <v>0.53</v>
      </c>
      <c r="Z14" s="72">
        <v>1.01</v>
      </c>
      <c r="AA14" s="4">
        <v>82.05</v>
      </c>
      <c r="AC14" s="72">
        <v>12.0</v>
      </c>
      <c r="AD14" s="73" t="s">
        <v>56</v>
      </c>
      <c r="AE14" s="74">
        <v>3.0</v>
      </c>
      <c r="AF14" s="72">
        <v>0.0</v>
      </c>
      <c r="AG14" s="72">
        <v>1.0</v>
      </c>
      <c r="AH14" s="72">
        <v>1.0</v>
      </c>
      <c r="AI14" s="72">
        <v>1.0</v>
      </c>
      <c r="AJ14" s="72">
        <v>0.0</v>
      </c>
      <c r="AK14" s="72">
        <v>0.0</v>
      </c>
      <c r="AL14" s="75" t="s">
        <v>34</v>
      </c>
      <c r="AM14" s="72">
        <v>0.0</v>
      </c>
      <c r="AN14" s="75" t="s">
        <v>34</v>
      </c>
      <c r="AO14" s="72">
        <v>0.0</v>
      </c>
      <c r="AP14" s="75" t="s">
        <v>34</v>
      </c>
      <c r="AQ14" s="75" t="s">
        <v>34</v>
      </c>
      <c r="AR14" s="72">
        <v>0.0</v>
      </c>
      <c r="AS14" s="72">
        <v>0.0</v>
      </c>
      <c r="AT14" s="4">
        <v>6.0</v>
      </c>
      <c r="AX14" s="53"/>
      <c r="AY14" s="76">
        <v>34.64</v>
      </c>
      <c r="AZ14" s="77">
        <v>8.91</v>
      </c>
      <c r="BA14" s="78">
        <f t="shared" si="2"/>
        <v>53.62</v>
      </c>
      <c r="BH14" s="57"/>
      <c r="BI14" s="79">
        <v>1.29</v>
      </c>
      <c r="BJ14" s="80">
        <v>0.0</v>
      </c>
      <c r="BK14" s="81">
        <v>0.0</v>
      </c>
      <c r="BL14" s="77">
        <v>0.53</v>
      </c>
      <c r="BM14" s="82">
        <v>1.01</v>
      </c>
      <c r="BS14" s="72">
        <v>12.49</v>
      </c>
      <c r="BT14" s="72">
        <v>19.57</v>
      </c>
      <c r="BU14" s="72">
        <v>17.98</v>
      </c>
      <c r="BV14" s="72">
        <v>1.28</v>
      </c>
      <c r="BW14" s="72">
        <v>1.41</v>
      </c>
      <c r="BX14" s="75">
        <v>0.0</v>
      </c>
      <c r="BY14" s="72">
        <v>0.89</v>
      </c>
      <c r="BZ14" s="75">
        <v>0.0</v>
      </c>
      <c r="CA14" s="83">
        <f t="shared" si="1"/>
        <v>53.62</v>
      </c>
      <c r="CJ14" s="84">
        <v>12.0</v>
      </c>
      <c r="CK14" s="64"/>
      <c r="CL14" s="85">
        <v>2.0</v>
      </c>
      <c r="CM14" s="86">
        <v>0.0</v>
      </c>
      <c r="CN14" s="85">
        <v>4.0</v>
      </c>
      <c r="CO14" s="86">
        <v>0.0</v>
      </c>
      <c r="CP14" s="85">
        <v>0.0</v>
      </c>
      <c r="CQ14" s="86">
        <v>0.0</v>
      </c>
      <c r="CR14" s="85">
        <v>0.0</v>
      </c>
      <c r="CS14" s="87">
        <v>0.0</v>
      </c>
      <c r="CT14" s="41"/>
      <c r="CU14" s="41"/>
      <c r="CV14" s="53"/>
      <c r="CW14" s="88">
        <v>2.0</v>
      </c>
      <c r="CX14" s="85">
        <v>4.0</v>
      </c>
      <c r="CY14" s="86">
        <v>0.0</v>
      </c>
      <c r="CZ14" s="85">
        <v>0.0</v>
      </c>
      <c r="DA14" s="41"/>
      <c r="DB14" s="41"/>
      <c r="DC14" s="53"/>
      <c r="DD14" s="88">
        <v>2.0</v>
      </c>
      <c r="DE14" s="85">
        <v>4.0</v>
      </c>
      <c r="DF14" s="87">
        <v>0.0</v>
      </c>
    </row>
    <row r="15" ht="12.0" customHeight="1">
      <c r="A15" s="64"/>
      <c r="C15" s="57"/>
      <c r="E15" s="70">
        <v>13.0</v>
      </c>
      <c r="F15" s="71" t="s">
        <v>58</v>
      </c>
      <c r="G15" s="70" t="s">
        <v>59</v>
      </c>
      <c r="H15" s="70">
        <v>7.0</v>
      </c>
      <c r="J15" s="72">
        <v>13.0</v>
      </c>
      <c r="K15" s="73" t="s">
        <v>60</v>
      </c>
      <c r="L15" s="74">
        <v>28.01</v>
      </c>
      <c r="M15" s="72">
        <v>26.96</v>
      </c>
      <c r="N15" s="75" t="s">
        <v>34</v>
      </c>
      <c r="O15" s="75" t="s">
        <v>34</v>
      </c>
      <c r="P15" s="72">
        <v>8.65</v>
      </c>
      <c r="Q15" s="72">
        <v>19.59</v>
      </c>
      <c r="R15" s="75" t="s">
        <v>34</v>
      </c>
      <c r="S15" s="75" t="s">
        <v>34</v>
      </c>
      <c r="T15" s="72">
        <v>6.3</v>
      </c>
      <c r="U15" s="75" t="s">
        <v>34</v>
      </c>
      <c r="V15" s="72">
        <v>5.6</v>
      </c>
      <c r="W15" s="75" t="s">
        <v>34</v>
      </c>
      <c r="X15" s="75" t="s">
        <v>34</v>
      </c>
      <c r="Y15" s="72">
        <v>2.15</v>
      </c>
      <c r="Z15" s="72">
        <v>2.74</v>
      </c>
      <c r="AA15" s="4">
        <v>81.44</v>
      </c>
      <c r="AC15" s="72">
        <v>13.0</v>
      </c>
      <c r="AD15" s="73" t="s">
        <v>60</v>
      </c>
      <c r="AE15" s="74">
        <v>3.0</v>
      </c>
      <c r="AF15" s="72">
        <v>2.0</v>
      </c>
      <c r="AG15" s="75" t="s">
        <v>34</v>
      </c>
      <c r="AH15" s="75" t="s">
        <v>34</v>
      </c>
      <c r="AI15" s="72">
        <v>0.0</v>
      </c>
      <c r="AJ15" s="72">
        <v>2.0</v>
      </c>
      <c r="AK15" s="75" t="s">
        <v>34</v>
      </c>
      <c r="AL15" s="75" t="s">
        <v>34</v>
      </c>
      <c r="AM15" s="72">
        <v>0.0</v>
      </c>
      <c r="AN15" s="75" t="s">
        <v>34</v>
      </c>
      <c r="AO15" s="72">
        <v>0.0</v>
      </c>
      <c r="AP15" s="75" t="s">
        <v>34</v>
      </c>
      <c r="AQ15" s="75" t="s">
        <v>34</v>
      </c>
      <c r="AR15" s="72">
        <v>0.0</v>
      </c>
      <c r="AS15" s="72">
        <v>0.0</v>
      </c>
      <c r="AT15" s="4">
        <v>7.0</v>
      </c>
      <c r="AX15" s="53"/>
      <c r="AY15" s="76">
        <v>28.01</v>
      </c>
      <c r="AZ15" s="77">
        <v>26.96</v>
      </c>
      <c r="BA15" s="78">
        <f t="shared" si="2"/>
        <v>40.14</v>
      </c>
      <c r="BH15" s="57"/>
      <c r="BI15" s="81">
        <v>0.0</v>
      </c>
      <c r="BJ15" s="80">
        <v>0.0</v>
      </c>
      <c r="BK15" s="81">
        <v>0.0</v>
      </c>
      <c r="BL15" s="77">
        <v>2.15</v>
      </c>
      <c r="BM15" s="82">
        <v>2.74</v>
      </c>
      <c r="BS15" s="75">
        <v>0.0</v>
      </c>
      <c r="BT15" s="75">
        <v>0.0</v>
      </c>
      <c r="BU15" s="72">
        <v>8.65</v>
      </c>
      <c r="BV15" s="72">
        <v>19.59</v>
      </c>
      <c r="BW15" s="72">
        <v>6.3</v>
      </c>
      <c r="BX15" s="75">
        <v>0.0</v>
      </c>
      <c r="BY15" s="72">
        <v>5.6</v>
      </c>
      <c r="BZ15" s="75">
        <v>0.0</v>
      </c>
      <c r="CA15" s="83">
        <f t="shared" si="1"/>
        <v>40.14</v>
      </c>
      <c r="CJ15" s="84">
        <v>13.0</v>
      </c>
      <c r="CK15" s="64"/>
      <c r="CL15" s="85">
        <v>2.0</v>
      </c>
      <c r="CM15" s="86">
        <v>2.0</v>
      </c>
      <c r="CN15" s="85">
        <v>3.0</v>
      </c>
      <c r="CO15" s="86">
        <v>0.0</v>
      </c>
      <c r="CP15" s="85">
        <v>0.0</v>
      </c>
      <c r="CQ15" s="86">
        <v>0.0</v>
      </c>
      <c r="CR15" s="85">
        <v>0.0</v>
      </c>
      <c r="CS15" s="87">
        <v>0.0</v>
      </c>
      <c r="CT15" s="41"/>
      <c r="CU15" s="41"/>
      <c r="CV15" s="53"/>
      <c r="CW15" s="88">
        <v>2.0</v>
      </c>
      <c r="CX15" s="85">
        <v>3.0</v>
      </c>
      <c r="CY15" s="86">
        <v>2.0</v>
      </c>
      <c r="CZ15" s="85">
        <v>0.0</v>
      </c>
      <c r="DA15" s="41"/>
      <c r="DB15" s="41"/>
      <c r="DC15" s="53"/>
      <c r="DD15" s="88">
        <v>2.0</v>
      </c>
      <c r="DE15" s="85">
        <v>3.0</v>
      </c>
      <c r="DF15" s="87">
        <v>2.0</v>
      </c>
    </row>
    <row r="16" ht="12.0" customHeight="1">
      <c r="A16" s="64"/>
      <c r="C16" s="57"/>
      <c r="E16" s="70">
        <v>14.0</v>
      </c>
      <c r="F16" s="71" t="s">
        <v>58</v>
      </c>
      <c r="G16" s="71" t="s">
        <v>61</v>
      </c>
      <c r="H16" s="70">
        <v>6.0</v>
      </c>
      <c r="J16" s="72">
        <v>14.0</v>
      </c>
      <c r="K16" s="73" t="s">
        <v>62</v>
      </c>
      <c r="L16" s="74">
        <v>36.0</v>
      </c>
      <c r="M16" s="72">
        <v>19.16</v>
      </c>
      <c r="N16" s="72">
        <v>16.04</v>
      </c>
      <c r="O16" s="72">
        <v>10.56</v>
      </c>
      <c r="P16" s="72">
        <v>8.74</v>
      </c>
      <c r="Q16" s="72">
        <v>6.54</v>
      </c>
      <c r="R16" s="72">
        <v>0.92</v>
      </c>
      <c r="S16" s="75" t="s">
        <v>34</v>
      </c>
      <c r="T16" s="72">
        <v>0.98</v>
      </c>
      <c r="U16" s="72">
        <v>0.0</v>
      </c>
      <c r="V16" s="72">
        <v>0.32</v>
      </c>
      <c r="W16" s="75" t="s">
        <v>34</v>
      </c>
      <c r="X16" s="75" t="s">
        <v>34</v>
      </c>
      <c r="Y16" s="75" t="s">
        <v>34</v>
      </c>
      <c r="Z16" s="72">
        <v>0.74</v>
      </c>
      <c r="AA16" s="4">
        <v>87.87</v>
      </c>
      <c r="AC16" s="72">
        <v>14.0</v>
      </c>
      <c r="AD16" s="73" t="s">
        <v>62</v>
      </c>
      <c r="AE16" s="74">
        <v>3.0</v>
      </c>
      <c r="AF16" s="72">
        <v>1.0</v>
      </c>
      <c r="AG16" s="72">
        <v>1.0</v>
      </c>
      <c r="AH16" s="72">
        <v>1.0</v>
      </c>
      <c r="AI16" s="72">
        <v>0.0</v>
      </c>
      <c r="AJ16" s="72">
        <v>0.0</v>
      </c>
      <c r="AK16" s="72">
        <v>0.0</v>
      </c>
      <c r="AL16" s="75" t="s">
        <v>34</v>
      </c>
      <c r="AM16" s="72">
        <v>0.0</v>
      </c>
      <c r="AN16" s="72">
        <v>0.0</v>
      </c>
      <c r="AO16" s="72">
        <v>0.0</v>
      </c>
      <c r="AP16" s="75" t="s">
        <v>34</v>
      </c>
      <c r="AQ16" s="75" t="s">
        <v>34</v>
      </c>
      <c r="AR16" s="75" t="s">
        <v>34</v>
      </c>
      <c r="AS16" s="72">
        <v>0.0</v>
      </c>
      <c r="AT16" s="4">
        <v>6.0</v>
      </c>
      <c r="AX16" s="53"/>
      <c r="AY16" s="76">
        <v>36.0</v>
      </c>
      <c r="AZ16" s="77">
        <v>19.16</v>
      </c>
      <c r="BA16" s="78">
        <f t="shared" si="2"/>
        <v>43.18</v>
      </c>
      <c r="BH16" s="57"/>
      <c r="BI16" s="79">
        <v>0.92</v>
      </c>
      <c r="BJ16" s="80">
        <v>0.0</v>
      </c>
      <c r="BK16" s="81">
        <v>0.0</v>
      </c>
      <c r="BL16" s="80">
        <v>0.0</v>
      </c>
      <c r="BM16" s="82">
        <v>0.74</v>
      </c>
      <c r="BS16" s="72">
        <v>16.04</v>
      </c>
      <c r="BT16" s="72">
        <v>10.56</v>
      </c>
      <c r="BU16" s="72">
        <v>8.74</v>
      </c>
      <c r="BV16" s="72">
        <v>6.54</v>
      </c>
      <c r="BW16" s="72">
        <v>0.98</v>
      </c>
      <c r="BX16" s="72">
        <v>0.0</v>
      </c>
      <c r="BY16" s="72">
        <v>0.32</v>
      </c>
      <c r="BZ16" s="75">
        <v>0.0</v>
      </c>
      <c r="CA16" s="83">
        <f t="shared" si="1"/>
        <v>43.18</v>
      </c>
      <c r="CJ16" s="84">
        <v>14.0</v>
      </c>
      <c r="CK16" s="64"/>
      <c r="CL16" s="85">
        <v>2.0</v>
      </c>
      <c r="CM16" s="86">
        <v>1.0</v>
      </c>
      <c r="CN16" s="85">
        <v>3.0</v>
      </c>
      <c r="CO16" s="86">
        <v>0.0</v>
      </c>
      <c r="CP16" s="85">
        <v>0.0</v>
      </c>
      <c r="CQ16" s="86">
        <v>0.0</v>
      </c>
      <c r="CR16" s="85">
        <v>0.0</v>
      </c>
      <c r="CS16" s="87">
        <v>0.0</v>
      </c>
      <c r="CT16" s="41"/>
      <c r="CU16" s="41"/>
      <c r="CV16" s="53"/>
      <c r="CW16" s="88">
        <v>2.0</v>
      </c>
      <c r="CX16" s="85">
        <v>3.0</v>
      </c>
      <c r="CY16" s="86">
        <v>1.0</v>
      </c>
      <c r="CZ16" s="85">
        <v>0.0</v>
      </c>
      <c r="DA16" s="41"/>
      <c r="DB16" s="41"/>
      <c r="DC16" s="53"/>
      <c r="DD16" s="88">
        <v>2.0</v>
      </c>
      <c r="DE16" s="85">
        <v>3.0</v>
      </c>
      <c r="DF16" s="87">
        <v>1.0</v>
      </c>
    </row>
    <row r="17" ht="12.0" customHeight="1">
      <c r="A17" s="64"/>
      <c r="C17" s="57"/>
      <c r="E17" s="70">
        <v>15.0</v>
      </c>
      <c r="F17" s="71" t="s">
        <v>63</v>
      </c>
      <c r="G17" s="70" t="s">
        <v>64</v>
      </c>
      <c r="H17" s="70">
        <v>6.0</v>
      </c>
      <c r="J17" s="72">
        <v>15.0</v>
      </c>
      <c r="K17" s="73" t="s">
        <v>63</v>
      </c>
      <c r="L17" s="74">
        <v>32.91</v>
      </c>
      <c r="M17" s="72">
        <v>14.66</v>
      </c>
      <c r="N17" s="72">
        <v>8.88</v>
      </c>
      <c r="O17" s="72">
        <v>17.09</v>
      </c>
      <c r="P17" s="72">
        <v>15.22</v>
      </c>
      <c r="Q17" s="72">
        <v>1.88</v>
      </c>
      <c r="R17" s="72">
        <v>7.33</v>
      </c>
      <c r="S17" s="75" t="s">
        <v>34</v>
      </c>
      <c r="T17" s="72">
        <v>1.1</v>
      </c>
      <c r="U17" s="72">
        <v>0.13</v>
      </c>
      <c r="V17" s="72">
        <v>0.41</v>
      </c>
      <c r="W17" s="75" t="s">
        <v>34</v>
      </c>
      <c r="X17" s="75" t="s">
        <v>34</v>
      </c>
      <c r="Y17" s="75" t="s">
        <v>34</v>
      </c>
      <c r="Z17" s="72">
        <v>0.39</v>
      </c>
      <c r="AA17" s="4">
        <v>87.17</v>
      </c>
      <c r="AC17" s="72">
        <v>15.0</v>
      </c>
      <c r="AD17" s="73" t="s">
        <v>63</v>
      </c>
      <c r="AE17" s="74">
        <v>3.0</v>
      </c>
      <c r="AF17" s="72">
        <v>1.0</v>
      </c>
      <c r="AG17" s="72">
        <v>0.0</v>
      </c>
      <c r="AH17" s="72">
        <v>1.0</v>
      </c>
      <c r="AI17" s="72">
        <v>1.0</v>
      </c>
      <c r="AJ17" s="72">
        <v>0.0</v>
      </c>
      <c r="AK17" s="72">
        <v>0.0</v>
      </c>
      <c r="AL17" s="75" t="s">
        <v>34</v>
      </c>
      <c r="AM17" s="72">
        <v>0.0</v>
      </c>
      <c r="AN17" s="72">
        <v>0.0</v>
      </c>
      <c r="AO17" s="72">
        <v>0.0</v>
      </c>
      <c r="AP17" s="75" t="s">
        <v>34</v>
      </c>
      <c r="AQ17" s="75" t="s">
        <v>34</v>
      </c>
      <c r="AR17" s="75" t="s">
        <v>34</v>
      </c>
      <c r="AS17" s="72">
        <v>0.0</v>
      </c>
      <c r="AT17" s="4">
        <v>6.0</v>
      </c>
      <c r="AX17" s="53"/>
      <c r="AY17" s="76">
        <v>32.91</v>
      </c>
      <c r="AZ17" s="77">
        <v>14.66</v>
      </c>
      <c r="BA17" s="78">
        <f t="shared" si="2"/>
        <v>44.71</v>
      </c>
      <c r="BH17" s="57"/>
      <c r="BI17" s="79">
        <v>7.33</v>
      </c>
      <c r="BJ17" s="80">
        <v>0.0</v>
      </c>
      <c r="BK17" s="81">
        <v>0.0</v>
      </c>
      <c r="BL17" s="80">
        <v>0.0</v>
      </c>
      <c r="BM17" s="82">
        <v>0.39</v>
      </c>
      <c r="BS17" s="72">
        <v>8.88</v>
      </c>
      <c r="BT17" s="72">
        <v>17.09</v>
      </c>
      <c r="BU17" s="72">
        <v>15.22</v>
      </c>
      <c r="BV17" s="72">
        <v>1.88</v>
      </c>
      <c r="BW17" s="72">
        <v>1.1</v>
      </c>
      <c r="BX17" s="72">
        <v>0.13</v>
      </c>
      <c r="BY17" s="72">
        <v>0.41</v>
      </c>
      <c r="BZ17" s="75">
        <v>0.0</v>
      </c>
      <c r="CA17" s="83">
        <f t="shared" si="1"/>
        <v>44.71</v>
      </c>
      <c r="CJ17" s="84">
        <v>15.0</v>
      </c>
      <c r="CK17" s="64"/>
      <c r="CL17" s="85">
        <v>2.0</v>
      </c>
      <c r="CM17" s="86">
        <v>1.0</v>
      </c>
      <c r="CN17" s="85">
        <v>3.0</v>
      </c>
      <c r="CO17" s="86">
        <v>0.0</v>
      </c>
      <c r="CP17" s="85">
        <v>0.0</v>
      </c>
      <c r="CQ17" s="86">
        <v>0.0</v>
      </c>
      <c r="CR17" s="85">
        <v>0.0</v>
      </c>
      <c r="CS17" s="87">
        <v>0.0</v>
      </c>
      <c r="CT17" s="41"/>
      <c r="CU17" s="41"/>
      <c r="CV17" s="53"/>
      <c r="CW17" s="88">
        <v>2.0</v>
      </c>
      <c r="CX17" s="85">
        <v>3.0</v>
      </c>
      <c r="CY17" s="86">
        <v>1.0</v>
      </c>
      <c r="CZ17" s="85">
        <v>0.0</v>
      </c>
      <c r="DA17" s="41"/>
      <c r="DB17" s="41"/>
      <c r="DC17" s="53"/>
      <c r="DD17" s="88">
        <v>2.0</v>
      </c>
      <c r="DE17" s="85">
        <v>3.0</v>
      </c>
      <c r="DF17" s="87">
        <v>1.0</v>
      </c>
    </row>
    <row r="18" ht="12.0" customHeight="1">
      <c r="A18" s="64"/>
      <c r="C18" s="57"/>
      <c r="E18" s="70">
        <v>16.0</v>
      </c>
      <c r="F18" s="71" t="s">
        <v>65</v>
      </c>
      <c r="G18" s="70" t="s">
        <v>66</v>
      </c>
      <c r="H18" s="70">
        <v>7.0</v>
      </c>
      <c r="J18" s="72">
        <v>16.0</v>
      </c>
      <c r="K18" s="73" t="s">
        <v>65</v>
      </c>
      <c r="L18" s="74">
        <v>29.45</v>
      </c>
      <c r="M18" s="72">
        <v>11.76</v>
      </c>
      <c r="N18" s="72">
        <v>13.6</v>
      </c>
      <c r="O18" s="72">
        <v>24.01</v>
      </c>
      <c r="P18" s="72">
        <v>11.12</v>
      </c>
      <c r="Q18" s="72">
        <v>0.58</v>
      </c>
      <c r="R18" s="72">
        <v>5.92</v>
      </c>
      <c r="S18" s="75" t="s">
        <v>34</v>
      </c>
      <c r="T18" s="75" t="s">
        <v>34</v>
      </c>
      <c r="U18" s="72">
        <v>2.17</v>
      </c>
      <c r="V18" s="72">
        <v>0.38</v>
      </c>
      <c r="W18" s="75" t="s">
        <v>34</v>
      </c>
      <c r="X18" s="75" t="s">
        <v>34</v>
      </c>
      <c r="Y18" s="72">
        <v>0.01</v>
      </c>
      <c r="Z18" s="72">
        <v>1.0</v>
      </c>
      <c r="AA18" s="4">
        <v>85.05</v>
      </c>
      <c r="AC18" s="72">
        <v>16.0</v>
      </c>
      <c r="AD18" s="73" t="s">
        <v>65</v>
      </c>
      <c r="AE18" s="74">
        <v>2.0</v>
      </c>
      <c r="AF18" s="72">
        <v>1.0</v>
      </c>
      <c r="AG18" s="72">
        <v>1.0</v>
      </c>
      <c r="AH18" s="93">
        <v>2.0</v>
      </c>
      <c r="AI18" s="72">
        <v>1.0</v>
      </c>
      <c r="AJ18" s="72">
        <v>0.0</v>
      </c>
      <c r="AK18" s="72">
        <v>0.0</v>
      </c>
      <c r="AL18" s="75" t="s">
        <v>34</v>
      </c>
      <c r="AM18" s="75" t="s">
        <v>34</v>
      </c>
      <c r="AN18" s="72">
        <v>0.0</v>
      </c>
      <c r="AO18" s="72">
        <v>0.0</v>
      </c>
      <c r="AP18" s="75" t="s">
        <v>34</v>
      </c>
      <c r="AQ18" s="75" t="s">
        <v>34</v>
      </c>
      <c r="AR18" s="72">
        <v>0.0</v>
      </c>
      <c r="AS18" s="72">
        <v>0.0</v>
      </c>
      <c r="AT18" s="4">
        <v>7.0</v>
      </c>
      <c r="AX18" s="53"/>
      <c r="AY18" s="76">
        <v>29.45</v>
      </c>
      <c r="AZ18" s="77">
        <v>11.76</v>
      </c>
      <c r="BA18" s="78">
        <f t="shared" si="2"/>
        <v>51.86</v>
      </c>
      <c r="BH18" s="57"/>
      <c r="BI18" s="79">
        <v>5.92</v>
      </c>
      <c r="BJ18" s="80">
        <v>0.0</v>
      </c>
      <c r="BK18" s="81">
        <v>0.0</v>
      </c>
      <c r="BL18" s="77">
        <v>0.01</v>
      </c>
      <c r="BM18" s="82">
        <v>1.0</v>
      </c>
      <c r="BS18" s="72">
        <v>13.6</v>
      </c>
      <c r="BT18" s="72">
        <v>24.01</v>
      </c>
      <c r="BU18" s="72">
        <v>11.12</v>
      </c>
      <c r="BV18" s="72">
        <v>0.58</v>
      </c>
      <c r="BW18" s="75">
        <v>0.0</v>
      </c>
      <c r="BX18" s="72">
        <v>2.17</v>
      </c>
      <c r="BY18" s="72">
        <v>0.38</v>
      </c>
      <c r="BZ18" s="75">
        <v>0.0</v>
      </c>
      <c r="CA18" s="83">
        <f t="shared" si="1"/>
        <v>51.86</v>
      </c>
      <c r="CJ18" s="84">
        <v>16.0</v>
      </c>
      <c r="CK18" s="64"/>
      <c r="CL18" s="85">
        <v>2.0</v>
      </c>
      <c r="CM18" s="86">
        <v>1.0</v>
      </c>
      <c r="CN18" s="85">
        <v>4.0</v>
      </c>
      <c r="CO18" s="86">
        <v>0.0</v>
      </c>
      <c r="CP18" s="85">
        <v>0.0</v>
      </c>
      <c r="CQ18" s="86">
        <v>0.0</v>
      </c>
      <c r="CR18" s="85">
        <v>0.0</v>
      </c>
      <c r="CS18" s="87">
        <v>0.0</v>
      </c>
      <c r="CT18" s="41"/>
      <c r="CU18" s="41"/>
      <c r="CV18" s="53"/>
      <c r="CW18" s="88">
        <v>2.0</v>
      </c>
      <c r="CX18" s="85">
        <v>4.0</v>
      </c>
      <c r="CY18" s="86">
        <v>1.0</v>
      </c>
      <c r="CZ18" s="85">
        <v>0.0</v>
      </c>
      <c r="DA18" s="41"/>
      <c r="DB18" s="41"/>
      <c r="DC18" s="53"/>
      <c r="DD18" s="88">
        <v>2.0</v>
      </c>
      <c r="DE18" s="85">
        <v>4.0</v>
      </c>
      <c r="DF18" s="87">
        <v>1.0</v>
      </c>
    </row>
    <row r="19" ht="12.0" customHeight="1">
      <c r="A19" s="64"/>
      <c r="C19" s="57"/>
      <c r="E19" s="70">
        <v>17.0</v>
      </c>
      <c r="F19" s="71" t="s">
        <v>67</v>
      </c>
      <c r="G19" s="70" t="s">
        <v>68</v>
      </c>
      <c r="H19" s="70">
        <v>6.0</v>
      </c>
      <c r="J19" s="72">
        <v>17.0</v>
      </c>
      <c r="K19" s="73" t="s">
        <v>67</v>
      </c>
      <c r="L19" s="74">
        <v>31.71</v>
      </c>
      <c r="M19" s="72">
        <v>8.94</v>
      </c>
      <c r="N19" s="72">
        <v>3.55</v>
      </c>
      <c r="O19" s="72">
        <v>29.02</v>
      </c>
      <c r="P19" s="72">
        <v>11.14</v>
      </c>
      <c r="Q19" s="72">
        <v>2.39</v>
      </c>
      <c r="R19" s="72">
        <v>9.89</v>
      </c>
      <c r="S19" s="75" t="s">
        <v>34</v>
      </c>
      <c r="T19" s="72">
        <v>0.82</v>
      </c>
      <c r="U19" s="75" t="s">
        <v>34</v>
      </c>
      <c r="V19" s="72">
        <v>0.28</v>
      </c>
      <c r="W19" s="75" t="s">
        <v>34</v>
      </c>
      <c r="X19" s="75" t="s">
        <v>34</v>
      </c>
      <c r="Y19" s="72">
        <v>0.01</v>
      </c>
      <c r="Z19" s="72">
        <v>2.25</v>
      </c>
      <c r="AA19" s="4">
        <v>86.79</v>
      </c>
      <c r="AC19" s="72">
        <v>17.0</v>
      </c>
      <c r="AD19" s="73" t="s">
        <v>67</v>
      </c>
      <c r="AE19" s="74">
        <v>3.0</v>
      </c>
      <c r="AF19" s="72">
        <v>0.0</v>
      </c>
      <c r="AG19" s="72">
        <v>0.0</v>
      </c>
      <c r="AH19" s="72">
        <v>2.0</v>
      </c>
      <c r="AI19" s="72">
        <v>1.0</v>
      </c>
      <c r="AJ19" s="72">
        <v>0.0</v>
      </c>
      <c r="AK19" s="72">
        <v>0.0</v>
      </c>
      <c r="AL19" s="75" t="s">
        <v>34</v>
      </c>
      <c r="AM19" s="72">
        <v>0.0</v>
      </c>
      <c r="AN19" s="75" t="s">
        <v>34</v>
      </c>
      <c r="AO19" s="72">
        <v>0.0</v>
      </c>
      <c r="AP19" s="75" t="s">
        <v>34</v>
      </c>
      <c r="AQ19" s="75" t="s">
        <v>34</v>
      </c>
      <c r="AR19" s="72">
        <v>0.0</v>
      </c>
      <c r="AS19" s="72">
        <v>0.0</v>
      </c>
      <c r="AT19" s="4">
        <v>6.0</v>
      </c>
      <c r="AX19" s="53"/>
      <c r="AY19" s="76">
        <v>31.71</v>
      </c>
      <c r="AZ19" s="77">
        <v>8.94</v>
      </c>
      <c r="BA19" s="78">
        <f t="shared" si="2"/>
        <v>47.2</v>
      </c>
      <c r="BH19" s="57"/>
      <c r="BI19" s="79">
        <v>9.89</v>
      </c>
      <c r="BJ19" s="80">
        <v>0.0</v>
      </c>
      <c r="BK19" s="81">
        <v>0.0</v>
      </c>
      <c r="BL19" s="77">
        <v>0.01</v>
      </c>
      <c r="BM19" s="82">
        <v>2.25</v>
      </c>
      <c r="BS19" s="72">
        <v>3.55</v>
      </c>
      <c r="BT19" s="72">
        <v>29.02</v>
      </c>
      <c r="BU19" s="72">
        <v>11.14</v>
      </c>
      <c r="BV19" s="72">
        <v>2.39</v>
      </c>
      <c r="BW19" s="72">
        <v>0.82</v>
      </c>
      <c r="BX19" s="75">
        <v>0.0</v>
      </c>
      <c r="BY19" s="72">
        <v>0.28</v>
      </c>
      <c r="BZ19" s="75">
        <v>0.0</v>
      </c>
      <c r="CA19" s="83">
        <f t="shared" si="1"/>
        <v>47.2</v>
      </c>
      <c r="CJ19" s="84">
        <v>17.0</v>
      </c>
      <c r="CK19" s="64"/>
      <c r="CL19" s="85">
        <v>2.0</v>
      </c>
      <c r="CM19" s="86">
        <v>0.0</v>
      </c>
      <c r="CN19" s="85">
        <v>4.0</v>
      </c>
      <c r="CO19" s="86">
        <v>0.0</v>
      </c>
      <c r="CP19" s="85">
        <v>0.0</v>
      </c>
      <c r="CQ19" s="86">
        <v>0.0</v>
      </c>
      <c r="CR19" s="85">
        <v>0.0</v>
      </c>
      <c r="CS19" s="87">
        <v>0.0</v>
      </c>
      <c r="CT19" s="41"/>
      <c r="CU19" s="41"/>
      <c r="CV19" s="53"/>
      <c r="CW19" s="88">
        <v>2.0</v>
      </c>
      <c r="CX19" s="85">
        <v>4.0</v>
      </c>
      <c r="CY19" s="86">
        <v>0.0</v>
      </c>
      <c r="CZ19" s="85">
        <v>0.0</v>
      </c>
      <c r="DA19" s="41"/>
      <c r="DB19" s="41"/>
      <c r="DC19" s="53"/>
      <c r="DD19" s="88">
        <v>3.0</v>
      </c>
      <c r="DE19" s="85">
        <v>3.0</v>
      </c>
      <c r="DF19" s="87">
        <v>0.0</v>
      </c>
    </row>
    <row r="20" ht="12.0" customHeight="1">
      <c r="A20" s="64"/>
      <c r="C20" s="57"/>
      <c r="E20" s="70">
        <v>18.0</v>
      </c>
      <c r="F20" s="71" t="s">
        <v>69</v>
      </c>
      <c r="G20" s="70" t="s">
        <v>70</v>
      </c>
      <c r="H20" s="70">
        <v>5.0</v>
      </c>
      <c r="J20" s="72">
        <v>18.0</v>
      </c>
      <c r="K20" s="73" t="s">
        <v>69</v>
      </c>
      <c r="L20" s="74">
        <v>38.12</v>
      </c>
      <c r="M20" s="72">
        <v>17.31</v>
      </c>
      <c r="N20" s="72">
        <v>13.4</v>
      </c>
      <c r="O20" s="72">
        <v>9.46</v>
      </c>
      <c r="P20" s="72">
        <v>9.62</v>
      </c>
      <c r="Q20" s="72">
        <v>7.23</v>
      </c>
      <c r="R20" s="72">
        <v>1.43</v>
      </c>
      <c r="S20" s="75" t="s">
        <v>34</v>
      </c>
      <c r="T20" s="75" t="s">
        <v>34</v>
      </c>
      <c r="U20" s="72">
        <v>0.12</v>
      </c>
      <c r="V20" s="72">
        <v>1.6</v>
      </c>
      <c r="W20" s="75" t="s">
        <v>34</v>
      </c>
      <c r="X20" s="75" t="s">
        <v>34</v>
      </c>
      <c r="Y20" s="72">
        <v>0.17</v>
      </c>
      <c r="Z20" s="72">
        <v>1.54</v>
      </c>
      <c r="AA20" s="4">
        <v>82.08</v>
      </c>
      <c r="AC20" s="72">
        <v>18.0</v>
      </c>
      <c r="AD20" s="73" t="s">
        <v>69</v>
      </c>
      <c r="AE20" s="74">
        <v>3.0</v>
      </c>
      <c r="AF20" s="72">
        <v>1.0</v>
      </c>
      <c r="AG20" s="72">
        <v>1.0</v>
      </c>
      <c r="AH20" s="72">
        <v>0.0</v>
      </c>
      <c r="AI20" s="72">
        <v>0.0</v>
      </c>
      <c r="AJ20" s="72">
        <v>0.0</v>
      </c>
      <c r="AK20" s="72">
        <v>0.0</v>
      </c>
      <c r="AL20" s="75" t="s">
        <v>34</v>
      </c>
      <c r="AM20" s="75" t="s">
        <v>34</v>
      </c>
      <c r="AN20" s="72">
        <v>0.0</v>
      </c>
      <c r="AO20" s="72">
        <v>0.0</v>
      </c>
      <c r="AP20" s="75" t="s">
        <v>34</v>
      </c>
      <c r="AQ20" s="75" t="s">
        <v>34</v>
      </c>
      <c r="AR20" s="72">
        <v>0.0</v>
      </c>
      <c r="AS20" s="72">
        <v>0.0</v>
      </c>
      <c r="AT20" s="4">
        <v>5.0</v>
      </c>
      <c r="AX20" s="53"/>
      <c r="AY20" s="76">
        <v>38.12</v>
      </c>
      <c r="AZ20" s="77">
        <v>17.31</v>
      </c>
      <c r="BA20" s="78">
        <f t="shared" si="2"/>
        <v>41.43</v>
      </c>
      <c r="BH20" s="57"/>
      <c r="BI20" s="79">
        <v>1.43</v>
      </c>
      <c r="BJ20" s="80">
        <v>0.0</v>
      </c>
      <c r="BK20" s="81">
        <v>0.0</v>
      </c>
      <c r="BL20" s="77">
        <v>0.17</v>
      </c>
      <c r="BM20" s="82">
        <v>1.54</v>
      </c>
      <c r="BS20" s="72">
        <v>13.4</v>
      </c>
      <c r="BT20" s="72">
        <v>9.46</v>
      </c>
      <c r="BU20" s="72">
        <v>9.62</v>
      </c>
      <c r="BV20" s="72">
        <v>7.23</v>
      </c>
      <c r="BW20" s="75">
        <v>0.0</v>
      </c>
      <c r="BX20" s="72">
        <v>0.12</v>
      </c>
      <c r="BY20" s="72">
        <v>1.6</v>
      </c>
      <c r="BZ20" s="75">
        <v>0.0</v>
      </c>
      <c r="CA20" s="83">
        <f t="shared" si="1"/>
        <v>41.43</v>
      </c>
      <c r="CJ20" s="84">
        <v>18.0</v>
      </c>
      <c r="CK20" s="64"/>
      <c r="CL20" s="85">
        <v>2.0</v>
      </c>
      <c r="CM20" s="86">
        <v>1.0</v>
      </c>
      <c r="CN20" s="85">
        <v>2.0</v>
      </c>
      <c r="CO20" s="86">
        <v>0.0</v>
      </c>
      <c r="CP20" s="85">
        <v>0.0</v>
      </c>
      <c r="CQ20" s="86">
        <v>0.0</v>
      </c>
      <c r="CR20" s="85">
        <v>0.0</v>
      </c>
      <c r="CS20" s="87">
        <v>0.0</v>
      </c>
      <c r="CT20" s="41"/>
      <c r="CU20" s="41"/>
      <c r="CV20" s="53"/>
      <c r="CW20" s="88">
        <v>2.0</v>
      </c>
      <c r="CX20" s="85">
        <v>2.0</v>
      </c>
      <c r="CY20" s="86">
        <v>1.0</v>
      </c>
      <c r="CZ20" s="85">
        <v>0.0</v>
      </c>
      <c r="DA20" s="41"/>
      <c r="DB20" s="41"/>
      <c r="DC20" s="53"/>
      <c r="DD20" s="88">
        <v>2.0</v>
      </c>
      <c r="DE20" s="85">
        <v>2.0</v>
      </c>
      <c r="DF20" s="87">
        <v>1.0</v>
      </c>
    </row>
    <row r="21" ht="12.0" customHeight="1">
      <c r="A21" s="64"/>
      <c r="C21" s="57"/>
      <c r="E21" s="70">
        <v>19.0</v>
      </c>
      <c r="F21" s="71" t="s">
        <v>71</v>
      </c>
      <c r="G21" s="70" t="s">
        <v>72</v>
      </c>
      <c r="H21" s="70">
        <v>7.0</v>
      </c>
      <c r="J21" s="72">
        <v>19.0</v>
      </c>
      <c r="K21" s="73" t="s">
        <v>71</v>
      </c>
      <c r="L21" s="74">
        <v>34.39</v>
      </c>
      <c r="M21" s="72">
        <v>10.55</v>
      </c>
      <c r="N21" s="72">
        <v>23.47</v>
      </c>
      <c r="O21" s="72">
        <v>13.45</v>
      </c>
      <c r="P21" s="72">
        <v>11.72</v>
      </c>
      <c r="Q21" s="72">
        <v>0.88</v>
      </c>
      <c r="R21" s="72">
        <v>1.15</v>
      </c>
      <c r="S21" s="75" t="s">
        <v>34</v>
      </c>
      <c r="T21" s="72">
        <v>1.08</v>
      </c>
      <c r="U21" s="75" t="s">
        <v>34</v>
      </c>
      <c r="V21" s="72">
        <v>0.87</v>
      </c>
      <c r="W21" s="75" t="s">
        <v>34</v>
      </c>
      <c r="X21" s="75" t="s">
        <v>34</v>
      </c>
      <c r="Y21" s="72">
        <v>1.2</v>
      </c>
      <c r="Z21" s="72">
        <v>1.24</v>
      </c>
      <c r="AA21" s="4">
        <v>79.95</v>
      </c>
      <c r="AC21" s="72">
        <v>19.0</v>
      </c>
      <c r="AD21" s="73" t="s">
        <v>71</v>
      </c>
      <c r="AE21" s="74">
        <v>3.0</v>
      </c>
      <c r="AF21" s="72">
        <v>0.0</v>
      </c>
      <c r="AG21" s="72">
        <v>2.0</v>
      </c>
      <c r="AH21" s="72">
        <v>1.0</v>
      </c>
      <c r="AI21" s="72">
        <v>1.0</v>
      </c>
      <c r="AJ21" s="72">
        <v>0.0</v>
      </c>
      <c r="AK21" s="72">
        <v>0.0</v>
      </c>
      <c r="AL21" s="75" t="s">
        <v>34</v>
      </c>
      <c r="AM21" s="72">
        <v>0.0</v>
      </c>
      <c r="AN21" s="75" t="s">
        <v>34</v>
      </c>
      <c r="AO21" s="72">
        <v>0.0</v>
      </c>
      <c r="AP21" s="75" t="s">
        <v>34</v>
      </c>
      <c r="AQ21" s="75" t="s">
        <v>34</v>
      </c>
      <c r="AR21" s="72">
        <v>0.0</v>
      </c>
      <c r="AS21" s="72">
        <v>0.0</v>
      </c>
      <c r="AT21" s="4">
        <v>7.0</v>
      </c>
      <c r="AX21" s="53"/>
      <c r="AY21" s="76">
        <v>34.39</v>
      </c>
      <c r="AZ21" s="77">
        <v>10.55</v>
      </c>
      <c r="BA21" s="78">
        <f t="shared" si="2"/>
        <v>51.47</v>
      </c>
      <c r="BH21" s="57"/>
      <c r="BI21" s="79">
        <v>1.15</v>
      </c>
      <c r="BJ21" s="80">
        <v>0.0</v>
      </c>
      <c r="BK21" s="81">
        <v>0.0</v>
      </c>
      <c r="BL21" s="77">
        <v>1.2</v>
      </c>
      <c r="BM21" s="82">
        <v>1.24</v>
      </c>
      <c r="BS21" s="72">
        <v>23.47</v>
      </c>
      <c r="BT21" s="72">
        <v>13.45</v>
      </c>
      <c r="BU21" s="72">
        <v>11.72</v>
      </c>
      <c r="BV21" s="72">
        <v>0.88</v>
      </c>
      <c r="BW21" s="72">
        <v>1.08</v>
      </c>
      <c r="BX21" s="75">
        <v>0.0</v>
      </c>
      <c r="BY21" s="72">
        <v>0.87</v>
      </c>
      <c r="BZ21" s="75">
        <v>0.0</v>
      </c>
      <c r="CA21" s="83">
        <f t="shared" si="1"/>
        <v>51.47</v>
      </c>
      <c r="CJ21" s="84">
        <v>19.0</v>
      </c>
      <c r="CK21" s="64"/>
      <c r="CL21" s="85">
        <v>3.0</v>
      </c>
      <c r="CM21" s="86">
        <v>0.0</v>
      </c>
      <c r="CN21" s="85">
        <v>4.0</v>
      </c>
      <c r="CO21" s="86">
        <v>0.0</v>
      </c>
      <c r="CP21" s="85">
        <v>0.0</v>
      </c>
      <c r="CQ21" s="86">
        <v>0.0</v>
      </c>
      <c r="CR21" s="85">
        <v>0.0</v>
      </c>
      <c r="CS21" s="87">
        <v>0.0</v>
      </c>
      <c r="CT21" s="41"/>
      <c r="CU21" s="41"/>
      <c r="CV21" s="53"/>
      <c r="CW21" s="88">
        <v>2.0</v>
      </c>
      <c r="CX21" s="85">
        <v>4.0</v>
      </c>
      <c r="CY21" s="86">
        <v>1.0</v>
      </c>
      <c r="CZ21" s="85">
        <v>0.0</v>
      </c>
      <c r="DA21" s="41"/>
      <c r="DB21" s="41"/>
      <c r="DC21" s="53"/>
      <c r="DD21" s="88">
        <v>2.0</v>
      </c>
      <c r="DE21" s="85">
        <v>4.0</v>
      </c>
      <c r="DF21" s="87">
        <v>1.0</v>
      </c>
    </row>
    <row r="22" ht="12.0" customHeight="1">
      <c r="A22" s="94"/>
      <c r="B22" s="95"/>
      <c r="C22" s="96"/>
      <c r="E22" s="70">
        <v>20.0</v>
      </c>
      <c r="F22" s="71" t="s">
        <v>73</v>
      </c>
      <c r="G22" s="70" t="s">
        <v>74</v>
      </c>
      <c r="H22" s="70">
        <v>5.0</v>
      </c>
      <c r="J22" s="72">
        <v>20.0</v>
      </c>
      <c r="K22" s="73" t="s">
        <v>73</v>
      </c>
      <c r="L22" s="72">
        <v>27.47</v>
      </c>
      <c r="M22" s="72">
        <v>10.3</v>
      </c>
      <c r="N22" s="72">
        <v>8.67</v>
      </c>
      <c r="O22" s="93">
        <v>38.15</v>
      </c>
      <c r="P22" s="72">
        <v>9.85</v>
      </c>
      <c r="Q22" s="72">
        <v>0.82</v>
      </c>
      <c r="R22" s="72">
        <v>0.8</v>
      </c>
      <c r="S22" s="75" t="s">
        <v>34</v>
      </c>
      <c r="T22" s="72">
        <v>0.15</v>
      </c>
      <c r="U22" s="72">
        <v>3.22</v>
      </c>
      <c r="V22" s="75" t="s">
        <v>34</v>
      </c>
      <c r="W22" s="75" t="s">
        <v>34</v>
      </c>
      <c r="X22" s="75" t="s">
        <v>34</v>
      </c>
      <c r="Y22" s="75" t="s">
        <v>34</v>
      </c>
      <c r="Z22" s="72">
        <v>0.57</v>
      </c>
      <c r="AA22" s="4">
        <v>84.84</v>
      </c>
      <c r="AC22" s="72">
        <v>20.0</v>
      </c>
      <c r="AD22" s="73" t="s">
        <v>73</v>
      </c>
      <c r="AE22" s="72">
        <v>2.0</v>
      </c>
      <c r="AF22" s="72">
        <v>0.0</v>
      </c>
      <c r="AG22" s="72">
        <v>0.0</v>
      </c>
      <c r="AH22" s="93">
        <v>3.0</v>
      </c>
      <c r="AI22" s="72">
        <v>0.0</v>
      </c>
      <c r="AJ22" s="72">
        <v>0.0</v>
      </c>
      <c r="AK22" s="72">
        <v>0.0</v>
      </c>
      <c r="AL22" s="75" t="s">
        <v>34</v>
      </c>
      <c r="AM22" s="72">
        <v>0.0</v>
      </c>
      <c r="AN22" s="72">
        <v>0.0</v>
      </c>
      <c r="AO22" s="75" t="s">
        <v>34</v>
      </c>
      <c r="AP22" s="75" t="s">
        <v>34</v>
      </c>
      <c r="AQ22" s="75" t="s">
        <v>34</v>
      </c>
      <c r="AR22" s="75" t="s">
        <v>34</v>
      </c>
      <c r="AS22" s="72">
        <v>0.0</v>
      </c>
      <c r="AT22" s="4">
        <v>5.0</v>
      </c>
      <c r="AX22" s="53"/>
      <c r="AY22" s="90">
        <v>27.47</v>
      </c>
      <c r="AZ22" s="77">
        <v>10.3</v>
      </c>
      <c r="BA22" s="78">
        <f t="shared" si="2"/>
        <v>60.86</v>
      </c>
      <c r="BH22" s="57"/>
      <c r="BI22" s="79">
        <v>0.8</v>
      </c>
      <c r="BJ22" s="80">
        <v>0.0</v>
      </c>
      <c r="BK22" s="81">
        <v>0.0</v>
      </c>
      <c r="BL22" s="80">
        <v>0.0</v>
      </c>
      <c r="BM22" s="82">
        <v>0.57</v>
      </c>
      <c r="BS22" s="72">
        <v>8.67</v>
      </c>
      <c r="BT22" s="93">
        <v>38.15</v>
      </c>
      <c r="BU22" s="72">
        <v>9.85</v>
      </c>
      <c r="BV22" s="72">
        <v>0.82</v>
      </c>
      <c r="BW22" s="72">
        <v>0.15</v>
      </c>
      <c r="BX22" s="72">
        <v>3.22</v>
      </c>
      <c r="BY22" s="75">
        <v>0.0</v>
      </c>
      <c r="BZ22" s="75">
        <v>0.0</v>
      </c>
      <c r="CA22" s="83">
        <f t="shared" si="1"/>
        <v>60.86</v>
      </c>
      <c r="CJ22" s="84">
        <v>20.0</v>
      </c>
      <c r="CK22" s="64"/>
      <c r="CL22" s="85">
        <v>1.0</v>
      </c>
      <c r="CM22" s="86">
        <v>0.0</v>
      </c>
      <c r="CN22" s="85">
        <v>4.0</v>
      </c>
      <c r="CO22" s="86">
        <v>0.0</v>
      </c>
      <c r="CP22" s="85">
        <v>0.0</v>
      </c>
      <c r="CQ22" s="86">
        <v>0.0</v>
      </c>
      <c r="CR22" s="85">
        <v>0.0</v>
      </c>
      <c r="CS22" s="87">
        <v>0.0</v>
      </c>
      <c r="CT22" s="41"/>
      <c r="CU22" s="41"/>
      <c r="CV22" s="53"/>
      <c r="CW22" s="88">
        <v>1.0</v>
      </c>
      <c r="CX22" s="85">
        <v>4.0</v>
      </c>
      <c r="CY22" s="86">
        <v>0.0</v>
      </c>
      <c r="CZ22" s="85">
        <v>0.0</v>
      </c>
      <c r="DA22" s="41"/>
      <c r="DB22" s="41"/>
      <c r="DC22" s="53"/>
      <c r="DD22" s="88">
        <v>1.0</v>
      </c>
      <c r="DE22" s="85">
        <v>4.0</v>
      </c>
      <c r="DF22" s="87">
        <v>0.0</v>
      </c>
    </row>
    <row r="23" ht="12.0" customHeight="1">
      <c r="A23" s="48">
        <v>3.0</v>
      </c>
      <c r="C23" s="49"/>
      <c r="E23" s="70">
        <v>21.0</v>
      </c>
      <c r="F23" s="71" t="s">
        <v>75</v>
      </c>
      <c r="G23" s="70" t="s">
        <v>76</v>
      </c>
      <c r="H23" s="70">
        <v>6.0</v>
      </c>
      <c r="J23" s="72">
        <v>21.0</v>
      </c>
      <c r="K23" s="73" t="s">
        <v>75</v>
      </c>
      <c r="L23" s="74">
        <v>28.94</v>
      </c>
      <c r="M23" s="72">
        <v>11.04</v>
      </c>
      <c r="N23" s="72">
        <v>0.1</v>
      </c>
      <c r="O23" s="72">
        <v>4.24</v>
      </c>
      <c r="P23" s="72">
        <v>25.33</v>
      </c>
      <c r="Q23" s="72">
        <v>5.33</v>
      </c>
      <c r="R23" s="75" t="s">
        <v>34</v>
      </c>
      <c r="S23" s="75" t="s">
        <v>34</v>
      </c>
      <c r="T23" s="72">
        <v>20.84</v>
      </c>
      <c r="U23" s="72">
        <v>0.15</v>
      </c>
      <c r="V23" s="72">
        <v>0.11</v>
      </c>
      <c r="W23" s="75" t="s">
        <v>34</v>
      </c>
      <c r="X23" s="75" t="s">
        <v>34</v>
      </c>
      <c r="Y23" s="75" t="s">
        <v>34</v>
      </c>
      <c r="Z23" s="72">
        <v>3.92</v>
      </c>
      <c r="AA23" s="4">
        <v>80.35</v>
      </c>
      <c r="AC23" s="72">
        <v>21.0</v>
      </c>
      <c r="AD23" s="73" t="s">
        <v>75</v>
      </c>
      <c r="AE23" s="74">
        <v>2.0</v>
      </c>
      <c r="AF23" s="72">
        <v>1.0</v>
      </c>
      <c r="AG23" s="72">
        <v>0.0</v>
      </c>
      <c r="AH23" s="72">
        <v>0.0</v>
      </c>
      <c r="AI23" s="97">
        <v>2.0</v>
      </c>
      <c r="AJ23" s="72">
        <v>0.0</v>
      </c>
      <c r="AK23" s="75" t="s">
        <v>34</v>
      </c>
      <c r="AL23" s="75" t="s">
        <v>34</v>
      </c>
      <c r="AM23" s="72">
        <v>1.0</v>
      </c>
      <c r="AN23" s="72">
        <v>0.0</v>
      </c>
      <c r="AO23" s="72">
        <v>0.0</v>
      </c>
      <c r="AP23" s="75" t="s">
        <v>34</v>
      </c>
      <c r="AQ23" s="75" t="s">
        <v>34</v>
      </c>
      <c r="AR23" s="75" t="s">
        <v>34</v>
      </c>
      <c r="AS23" s="72">
        <v>0.0</v>
      </c>
      <c r="AT23" s="4">
        <v>6.0</v>
      </c>
      <c r="AX23" s="53"/>
      <c r="AY23" s="76">
        <v>28.94</v>
      </c>
      <c r="AZ23" s="77">
        <v>11.04</v>
      </c>
      <c r="BA23" s="78">
        <f t="shared" si="2"/>
        <v>56.1</v>
      </c>
      <c r="BH23" s="57"/>
      <c r="BI23" s="81">
        <v>0.0</v>
      </c>
      <c r="BJ23" s="80">
        <v>0.0</v>
      </c>
      <c r="BK23" s="81">
        <v>0.0</v>
      </c>
      <c r="BL23" s="80">
        <v>0.0</v>
      </c>
      <c r="BM23" s="82">
        <v>3.92</v>
      </c>
      <c r="BS23" s="72">
        <v>0.1</v>
      </c>
      <c r="BT23" s="72">
        <v>4.24</v>
      </c>
      <c r="BU23" s="72">
        <v>25.33</v>
      </c>
      <c r="BV23" s="72">
        <v>5.33</v>
      </c>
      <c r="BW23" s="72">
        <v>20.84</v>
      </c>
      <c r="BX23" s="72">
        <v>0.15</v>
      </c>
      <c r="BY23" s="72">
        <v>0.11</v>
      </c>
      <c r="BZ23" s="75">
        <v>0.0</v>
      </c>
      <c r="CA23" s="83">
        <f t="shared" si="1"/>
        <v>56.1</v>
      </c>
      <c r="CJ23" s="84">
        <v>21.0</v>
      </c>
      <c r="CK23" s="64"/>
      <c r="CL23" s="85">
        <v>2.0</v>
      </c>
      <c r="CM23" s="86">
        <v>0.0</v>
      </c>
      <c r="CN23" s="85">
        <v>4.0</v>
      </c>
      <c r="CO23" s="86">
        <v>0.0</v>
      </c>
      <c r="CP23" s="85">
        <v>0.0</v>
      </c>
      <c r="CQ23" s="86">
        <v>0.0</v>
      </c>
      <c r="CR23" s="85">
        <v>0.0</v>
      </c>
      <c r="CS23" s="87">
        <v>0.0</v>
      </c>
      <c r="CT23" s="41"/>
      <c r="CU23" s="41"/>
      <c r="CV23" s="53"/>
      <c r="CW23" s="88">
        <v>2.0</v>
      </c>
      <c r="CX23" s="85">
        <v>3.0</v>
      </c>
      <c r="CY23" s="86">
        <v>1.0</v>
      </c>
      <c r="CZ23" s="85">
        <v>0.0</v>
      </c>
      <c r="DA23" s="41"/>
      <c r="DB23" s="41"/>
      <c r="DC23" s="53"/>
      <c r="DD23" s="88">
        <v>2.0</v>
      </c>
      <c r="DE23" s="85">
        <v>3.0</v>
      </c>
      <c r="DF23" s="87">
        <v>1.0</v>
      </c>
    </row>
    <row r="24" ht="12.0" customHeight="1">
      <c r="A24" s="69" t="s">
        <v>77</v>
      </c>
      <c r="C24" s="57"/>
      <c r="E24" s="70">
        <v>22.0</v>
      </c>
      <c r="F24" s="71" t="s">
        <v>78</v>
      </c>
      <c r="G24" s="70" t="s">
        <v>79</v>
      </c>
      <c r="H24" s="70">
        <v>5.0</v>
      </c>
      <c r="J24" s="72">
        <v>22.0</v>
      </c>
      <c r="K24" s="73" t="s">
        <v>78</v>
      </c>
      <c r="L24" s="72">
        <v>17.73</v>
      </c>
      <c r="M24" s="72">
        <v>11.07</v>
      </c>
      <c r="N24" s="72">
        <v>23.84</v>
      </c>
      <c r="O24" s="93">
        <v>35.34</v>
      </c>
      <c r="P24" s="72">
        <v>10.48</v>
      </c>
      <c r="Q24" s="75" t="s">
        <v>34</v>
      </c>
      <c r="R24" s="72">
        <v>0.83</v>
      </c>
      <c r="S24" s="75" t="s">
        <v>34</v>
      </c>
      <c r="T24" s="75" t="s">
        <v>34</v>
      </c>
      <c r="U24" s="72">
        <v>0.34</v>
      </c>
      <c r="V24" s="75" t="s">
        <v>34</v>
      </c>
      <c r="W24" s="75" t="s">
        <v>34</v>
      </c>
      <c r="X24" s="75" t="s">
        <v>34</v>
      </c>
      <c r="Y24" s="72">
        <v>0.36</v>
      </c>
      <c r="Z24" s="72">
        <v>0.05</v>
      </c>
      <c r="AA24" s="4">
        <v>82.14</v>
      </c>
      <c r="AC24" s="72">
        <v>22.0</v>
      </c>
      <c r="AD24" s="73" t="s">
        <v>78</v>
      </c>
      <c r="AE24" s="72">
        <v>1.0</v>
      </c>
      <c r="AF24" s="72">
        <v>0.0</v>
      </c>
      <c r="AG24" s="98">
        <v>2.0</v>
      </c>
      <c r="AH24" s="93">
        <v>2.0</v>
      </c>
      <c r="AI24" s="72">
        <v>0.0</v>
      </c>
      <c r="AJ24" s="75" t="s">
        <v>34</v>
      </c>
      <c r="AK24" s="72">
        <v>0.0</v>
      </c>
      <c r="AL24" s="75" t="s">
        <v>34</v>
      </c>
      <c r="AM24" s="75" t="s">
        <v>34</v>
      </c>
      <c r="AN24" s="72">
        <v>0.0</v>
      </c>
      <c r="AO24" s="75" t="s">
        <v>34</v>
      </c>
      <c r="AP24" s="75" t="s">
        <v>34</v>
      </c>
      <c r="AQ24" s="75" t="s">
        <v>34</v>
      </c>
      <c r="AR24" s="72">
        <v>0.0</v>
      </c>
      <c r="AS24" s="72">
        <v>0.0</v>
      </c>
      <c r="AT24" s="4">
        <v>5.0</v>
      </c>
      <c r="AX24" s="53"/>
      <c r="AY24" s="90">
        <v>17.73</v>
      </c>
      <c r="AZ24" s="77">
        <v>11.07</v>
      </c>
      <c r="BA24" s="99">
        <f t="shared" si="2"/>
        <v>70</v>
      </c>
      <c r="BH24" s="57"/>
      <c r="BI24" s="79">
        <v>0.83</v>
      </c>
      <c r="BJ24" s="80">
        <v>0.0</v>
      </c>
      <c r="BK24" s="81">
        <v>0.0</v>
      </c>
      <c r="BL24" s="77">
        <v>0.36</v>
      </c>
      <c r="BM24" s="82">
        <v>0.05</v>
      </c>
      <c r="BS24" s="72">
        <v>23.84</v>
      </c>
      <c r="BT24" s="93">
        <v>35.34</v>
      </c>
      <c r="BU24" s="72">
        <v>10.48</v>
      </c>
      <c r="BV24" s="75">
        <v>0.0</v>
      </c>
      <c r="BW24" s="75">
        <v>0.0</v>
      </c>
      <c r="BX24" s="72">
        <v>0.34</v>
      </c>
      <c r="BY24" s="75">
        <v>0.0</v>
      </c>
      <c r="BZ24" s="75">
        <v>0.0</v>
      </c>
      <c r="CA24" s="100">
        <f t="shared" si="1"/>
        <v>70</v>
      </c>
      <c r="CJ24" s="84">
        <v>22.0</v>
      </c>
      <c r="CK24" s="64"/>
      <c r="CL24" s="85">
        <v>1.0</v>
      </c>
      <c r="CM24" s="86">
        <v>0.0</v>
      </c>
      <c r="CN24" s="85">
        <v>4.0</v>
      </c>
      <c r="CO24" s="86">
        <v>0.0</v>
      </c>
      <c r="CP24" s="85">
        <v>0.0</v>
      </c>
      <c r="CQ24" s="86">
        <v>0.0</v>
      </c>
      <c r="CR24" s="85">
        <v>0.0</v>
      </c>
      <c r="CS24" s="87">
        <v>0.0</v>
      </c>
      <c r="CT24" s="41"/>
      <c r="CU24" s="41"/>
      <c r="CV24" s="53"/>
      <c r="CW24" s="88">
        <v>1.0</v>
      </c>
      <c r="CX24" s="85">
        <v>4.0</v>
      </c>
      <c r="CY24" s="86">
        <v>0.0</v>
      </c>
      <c r="CZ24" s="85">
        <v>0.0</v>
      </c>
      <c r="DA24" s="41"/>
      <c r="DB24" s="41"/>
      <c r="DC24" s="53"/>
      <c r="DD24" s="88">
        <v>1.0</v>
      </c>
      <c r="DE24" s="85">
        <v>4.0</v>
      </c>
      <c r="DF24" s="87">
        <v>0.0</v>
      </c>
    </row>
    <row r="25" ht="12.0" customHeight="1">
      <c r="A25" s="64"/>
      <c r="C25" s="57"/>
      <c r="E25" s="70">
        <v>23.0</v>
      </c>
      <c r="F25" s="71" t="s">
        <v>80</v>
      </c>
      <c r="G25" s="70" t="s">
        <v>81</v>
      </c>
      <c r="H25" s="70">
        <v>6.0</v>
      </c>
      <c r="J25" s="72">
        <v>23.0</v>
      </c>
      <c r="K25" s="73" t="s">
        <v>80</v>
      </c>
      <c r="L25" s="72">
        <v>16.05</v>
      </c>
      <c r="M25" s="72">
        <v>9.56</v>
      </c>
      <c r="N25" s="72">
        <v>14.52</v>
      </c>
      <c r="O25" s="93">
        <v>34.9</v>
      </c>
      <c r="P25" s="72">
        <v>11.89</v>
      </c>
      <c r="Q25" s="72">
        <v>1.8</v>
      </c>
      <c r="R25" s="72">
        <v>5.17</v>
      </c>
      <c r="S25" s="75" t="s">
        <v>34</v>
      </c>
      <c r="T25" s="75" t="s">
        <v>34</v>
      </c>
      <c r="U25" s="72">
        <v>4.11</v>
      </c>
      <c r="V25" s="72">
        <v>0.33</v>
      </c>
      <c r="W25" s="75" t="s">
        <v>34</v>
      </c>
      <c r="X25" s="75" t="s">
        <v>34</v>
      </c>
      <c r="Y25" s="72">
        <v>0.29</v>
      </c>
      <c r="Z25" s="72">
        <v>1.38</v>
      </c>
      <c r="AA25" s="4">
        <v>81.59</v>
      </c>
      <c r="AC25" s="72">
        <v>23.0</v>
      </c>
      <c r="AD25" s="73" t="s">
        <v>80</v>
      </c>
      <c r="AE25" s="72">
        <v>1.0</v>
      </c>
      <c r="AF25" s="72">
        <v>0.0</v>
      </c>
      <c r="AG25" s="72">
        <v>1.0</v>
      </c>
      <c r="AH25" s="93">
        <v>3.0</v>
      </c>
      <c r="AI25" s="72">
        <v>1.0</v>
      </c>
      <c r="AJ25" s="72">
        <v>0.0</v>
      </c>
      <c r="AK25" s="72">
        <v>0.0</v>
      </c>
      <c r="AL25" s="75" t="s">
        <v>34</v>
      </c>
      <c r="AM25" s="75" t="s">
        <v>34</v>
      </c>
      <c r="AN25" s="72">
        <v>0.0</v>
      </c>
      <c r="AO25" s="72">
        <v>0.0</v>
      </c>
      <c r="AP25" s="75" t="s">
        <v>34</v>
      </c>
      <c r="AQ25" s="75" t="s">
        <v>34</v>
      </c>
      <c r="AR25" s="72">
        <v>0.0</v>
      </c>
      <c r="AS25" s="72">
        <v>0.0</v>
      </c>
      <c r="AT25" s="4">
        <v>6.0</v>
      </c>
      <c r="AX25" s="53"/>
      <c r="AY25" s="90">
        <v>16.05</v>
      </c>
      <c r="AZ25" s="77">
        <v>9.56</v>
      </c>
      <c r="BA25" s="78">
        <f t="shared" si="2"/>
        <v>67.55</v>
      </c>
      <c r="BH25" s="57"/>
      <c r="BI25" s="79">
        <v>5.17</v>
      </c>
      <c r="BJ25" s="80">
        <v>0.0</v>
      </c>
      <c r="BK25" s="81">
        <v>0.0</v>
      </c>
      <c r="BL25" s="77">
        <v>0.29</v>
      </c>
      <c r="BM25" s="82">
        <v>1.38</v>
      </c>
      <c r="BS25" s="72">
        <v>14.52</v>
      </c>
      <c r="BT25" s="93">
        <v>34.9</v>
      </c>
      <c r="BU25" s="72">
        <v>11.89</v>
      </c>
      <c r="BV25" s="72">
        <v>1.8</v>
      </c>
      <c r="BW25" s="75">
        <v>0.0</v>
      </c>
      <c r="BX25" s="72">
        <v>4.11</v>
      </c>
      <c r="BY25" s="72">
        <v>0.33</v>
      </c>
      <c r="BZ25" s="75">
        <v>0.0</v>
      </c>
      <c r="CA25" s="83">
        <f t="shared" si="1"/>
        <v>67.55</v>
      </c>
      <c r="CJ25" s="84">
        <v>23.0</v>
      </c>
      <c r="CK25" s="64"/>
      <c r="CL25" s="85">
        <v>1.0</v>
      </c>
      <c r="CM25" s="86">
        <v>0.0</v>
      </c>
      <c r="CN25" s="85">
        <v>5.0</v>
      </c>
      <c r="CO25" s="86">
        <v>0.0</v>
      </c>
      <c r="CP25" s="85">
        <v>0.0</v>
      </c>
      <c r="CQ25" s="86">
        <v>0.0</v>
      </c>
      <c r="CR25" s="85">
        <v>0.0</v>
      </c>
      <c r="CS25" s="87">
        <v>0.0</v>
      </c>
      <c r="CT25" s="41"/>
      <c r="CU25" s="41"/>
      <c r="CV25" s="53"/>
      <c r="CW25" s="88">
        <v>1.0</v>
      </c>
      <c r="CX25" s="85">
        <v>5.0</v>
      </c>
      <c r="CY25" s="86">
        <v>0.0</v>
      </c>
      <c r="CZ25" s="85">
        <v>0.0</v>
      </c>
      <c r="DA25" s="41"/>
      <c r="DB25" s="41"/>
      <c r="DC25" s="53"/>
      <c r="DD25" s="88">
        <v>1.0</v>
      </c>
      <c r="DE25" s="85">
        <v>5.0</v>
      </c>
      <c r="DF25" s="87">
        <v>0.0</v>
      </c>
    </row>
    <row r="26" ht="12.0" customHeight="1">
      <c r="A26" s="64"/>
      <c r="C26" s="57"/>
      <c r="E26" s="70">
        <v>24.0</v>
      </c>
      <c r="F26" s="71" t="s">
        <v>82</v>
      </c>
      <c r="G26" s="70" t="s">
        <v>83</v>
      </c>
      <c r="H26" s="70">
        <v>6.0</v>
      </c>
      <c r="J26" s="72">
        <v>24.0</v>
      </c>
      <c r="K26" s="73" t="s">
        <v>82</v>
      </c>
      <c r="L26" s="72">
        <v>28.85</v>
      </c>
      <c r="M26" s="72">
        <v>10.38</v>
      </c>
      <c r="N26" s="72">
        <v>13.85</v>
      </c>
      <c r="O26" s="93">
        <v>29.8</v>
      </c>
      <c r="P26" s="75" t="s">
        <v>34</v>
      </c>
      <c r="Q26" s="75" t="s">
        <v>34</v>
      </c>
      <c r="R26" s="72">
        <v>4.2</v>
      </c>
      <c r="S26" s="75" t="s">
        <v>34</v>
      </c>
      <c r="T26" s="72">
        <v>1.18</v>
      </c>
      <c r="U26" s="72">
        <v>10.88</v>
      </c>
      <c r="V26" s="75" t="s">
        <v>34</v>
      </c>
      <c r="W26" s="75" t="s">
        <v>34</v>
      </c>
      <c r="X26" s="75" t="s">
        <v>34</v>
      </c>
      <c r="Y26" s="75" t="s">
        <v>34</v>
      </c>
      <c r="Z26" s="72">
        <v>0.86</v>
      </c>
      <c r="AA26" s="4">
        <v>78.87</v>
      </c>
      <c r="AC26" s="72">
        <v>24.0</v>
      </c>
      <c r="AD26" s="73" t="s">
        <v>82</v>
      </c>
      <c r="AE26" s="74">
        <v>2.0</v>
      </c>
      <c r="AF26" s="72">
        <v>0.0</v>
      </c>
      <c r="AG26" s="72">
        <v>1.0</v>
      </c>
      <c r="AH26" s="93">
        <v>2.0</v>
      </c>
      <c r="AI26" s="75" t="s">
        <v>34</v>
      </c>
      <c r="AJ26" s="75" t="s">
        <v>34</v>
      </c>
      <c r="AK26" s="72">
        <v>0.0</v>
      </c>
      <c r="AL26" s="75" t="s">
        <v>34</v>
      </c>
      <c r="AM26" s="72">
        <v>0.0</v>
      </c>
      <c r="AN26" s="72">
        <v>1.0</v>
      </c>
      <c r="AO26" s="75" t="s">
        <v>34</v>
      </c>
      <c r="AP26" s="75" t="s">
        <v>34</v>
      </c>
      <c r="AQ26" s="75" t="s">
        <v>34</v>
      </c>
      <c r="AR26" s="75" t="s">
        <v>34</v>
      </c>
      <c r="AS26" s="72">
        <v>0.0</v>
      </c>
      <c r="AT26" s="4">
        <v>6.0</v>
      </c>
      <c r="AX26" s="53"/>
      <c r="AY26" s="90">
        <v>28.85</v>
      </c>
      <c r="AZ26" s="77">
        <v>10.38</v>
      </c>
      <c r="BA26" s="78">
        <f t="shared" si="2"/>
        <v>55.71</v>
      </c>
      <c r="BH26" s="57"/>
      <c r="BI26" s="79">
        <v>4.2</v>
      </c>
      <c r="BJ26" s="80">
        <v>0.0</v>
      </c>
      <c r="BK26" s="81">
        <v>0.0</v>
      </c>
      <c r="BL26" s="80">
        <v>0.0</v>
      </c>
      <c r="BM26" s="82">
        <v>0.86</v>
      </c>
      <c r="BS26" s="72">
        <v>13.85</v>
      </c>
      <c r="BT26" s="93">
        <v>29.8</v>
      </c>
      <c r="BU26" s="75">
        <v>0.0</v>
      </c>
      <c r="BV26" s="75">
        <v>0.0</v>
      </c>
      <c r="BW26" s="72">
        <v>1.18</v>
      </c>
      <c r="BX26" s="72">
        <v>10.88</v>
      </c>
      <c r="BY26" s="75">
        <v>0.0</v>
      </c>
      <c r="BZ26" s="75">
        <v>0.0</v>
      </c>
      <c r="CA26" s="83">
        <f t="shared" si="1"/>
        <v>55.71</v>
      </c>
      <c r="CJ26" s="84">
        <v>24.0</v>
      </c>
      <c r="CK26" s="64"/>
      <c r="CL26" s="85">
        <v>2.0</v>
      </c>
      <c r="CM26" s="86">
        <v>0.0</v>
      </c>
      <c r="CN26" s="85">
        <v>4.0</v>
      </c>
      <c r="CO26" s="86">
        <v>0.0</v>
      </c>
      <c r="CP26" s="85">
        <v>0.0</v>
      </c>
      <c r="CQ26" s="86">
        <v>0.0</v>
      </c>
      <c r="CR26" s="85">
        <v>0.0</v>
      </c>
      <c r="CS26" s="87">
        <v>0.0</v>
      </c>
      <c r="CT26" s="41"/>
      <c r="CU26" s="41"/>
      <c r="CV26" s="53"/>
      <c r="CW26" s="88">
        <v>2.0</v>
      </c>
      <c r="CX26" s="85">
        <v>4.0</v>
      </c>
      <c r="CY26" s="86">
        <v>0.0</v>
      </c>
      <c r="CZ26" s="85">
        <v>0.0</v>
      </c>
      <c r="DA26" s="41"/>
      <c r="DB26" s="41"/>
      <c r="DC26" s="53"/>
      <c r="DD26" s="88">
        <v>2.0</v>
      </c>
      <c r="DE26" s="85">
        <v>4.0</v>
      </c>
      <c r="DF26" s="87">
        <v>0.0</v>
      </c>
    </row>
    <row r="27" ht="12.0" customHeight="1">
      <c r="A27" s="64"/>
      <c r="C27" s="57"/>
      <c r="E27" s="70">
        <v>25.0</v>
      </c>
      <c r="F27" s="71" t="s">
        <v>84</v>
      </c>
      <c r="G27" s="70" t="s">
        <v>85</v>
      </c>
      <c r="H27" s="70">
        <v>4.0</v>
      </c>
      <c r="J27" s="72">
        <v>25.0</v>
      </c>
      <c r="K27" s="73" t="s">
        <v>84</v>
      </c>
      <c r="L27" s="74">
        <v>32.01</v>
      </c>
      <c r="M27" s="72">
        <v>19.89</v>
      </c>
      <c r="N27" s="72">
        <v>20.45</v>
      </c>
      <c r="O27" s="72">
        <v>12.33</v>
      </c>
      <c r="P27" s="72">
        <v>6.37</v>
      </c>
      <c r="Q27" s="72">
        <v>0.55</v>
      </c>
      <c r="R27" s="72">
        <v>1.96</v>
      </c>
      <c r="S27" s="75" t="s">
        <v>34</v>
      </c>
      <c r="T27" s="75" t="s">
        <v>34</v>
      </c>
      <c r="U27" s="72">
        <v>1.12</v>
      </c>
      <c r="V27" s="72">
        <v>3.54</v>
      </c>
      <c r="W27" s="75" t="s">
        <v>34</v>
      </c>
      <c r="X27" s="75" t="s">
        <v>34</v>
      </c>
      <c r="Y27" s="72">
        <v>0.92</v>
      </c>
      <c r="Z27" s="72">
        <v>0.86</v>
      </c>
      <c r="AA27" s="4">
        <v>74.8</v>
      </c>
      <c r="AC27" s="72">
        <v>25.0</v>
      </c>
      <c r="AD27" s="73" t="s">
        <v>84</v>
      </c>
      <c r="AE27" s="74">
        <v>2.0</v>
      </c>
      <c r="AF27" s="72">
        <v>1.0</v>
      </c>
      <c r="AG27" s="72">
        <v>1.0</v>
      </c>
      <c r="AH27" s="72">
        <v>0.0</v>
      </c>
      <c r="AI27" s="72">
        <v>0.0</v>
      </c>
      <c r="AJ27" s="72">
        <v>0.0</v>
      </c>
      <c r="AK27" s="72">
        <v>0.0</v>
      </c>
      <c r="AL27" s="75" t="s">
        <v>34</v>
      </c>
      <c r="AM27" s="75" t="s">
        <v>34</v>
      </c>
      <c r="AN27" s="72">
        <v>0.0</v>
      </c>
      <c r="AO27" s="72">
        <v>0.0</v>
      </c>
      <c r="AP27" s="75" t="s">
        <v>34</v>
      </c>
      <c r="AQ27" s="75" t="s">
        <v>34</v>
      </c>
      <c r="AR27" s="72">
        <v>0.0</v>
      </c>
      <c r="AS27" s="72">
        <v>0.0</v>
      </c>
      <c r="AT27" s="4">
        <v>4.0</v>
      </c>
      <c r="AX27" s="53"/>
      <c r="AY27" s="76">
        <v>32.01</v>
      </c>
      <c r="AZ27" s="77">
        <v>19.89</v>
      </c>
      <c r="BA27" s="78">
        <f t="shared" si="2"/>
        <v>44.36</v>
      </c>
      <c r="BH27" s="57"/>
      <c r="BI27" s="79">
        <v>1.96</v>
      </c>
      <c r="BJ27" s="80">
        <v>0.0</v>
      </c>
      <c r="BK27" s="81">
        <v>0.0</v>
      </c>
      <c r="BL27" s="77">
        <v>0.92</v>
      </c>
      <c r="BM27" s="82">
        <v>0.86</v>
      </c>
      <c r="BS27" s="72">
        <v>20.45</v>
      </c>
      <c r="BT27" s="72">
        <v>12.33</v>
      </c>
      <c r="BU27" s="72">
        <v>6.37</v>
      </c>
      <c r="BV27" s="72">
        <v>0.55</v>
      </c>
      <c r="BW27" s="75">
        <v>0.0</v>
      </c>
      <c r="BX27" s="72">
        <v>1.12</v>
      </c>
      <c r="BY27" s="72">
        <v>3.54</v>
      </c>
      <c r="BZ27" s="75">
        <v>0.0</v>
      </c>
      <c r="CA27" s="83">
        <f t="shared" si="1"/>
        <v>44.36</v>
      </c>
      <c r="CJ27" s="84">
        <v>25.0</v>
      </c>
      <c r="CK27" s="64"/>
      <c r="CL27" s="85">
        <v>1.0</v>
      </c>
      <c r="CM27" s="86">
        <v>1.0</v>
      </c>
      <c r="CN27" s="85">
        <v>2.0</v>
      </c>
      <c r="CO27" s="86">
        <v>0.0</v>
      </c>
      <c r="CP27" s="85">
        <v>0.0</v>
      </c>
      <c r="CQ27" s="86">
        <v>0.0</v>
      </c>
      <c r="CR27" s="85">
        <v>0.0</v>
      </c>
      <c r="CS27" s="87">
        <v>0.0</v>
      </c>
      <c r="CT27" s="41"/>
      <c r="CU27" s="41"/>
      <c r="CV27" s="53"/>
      <c r="CW27" s="88">
        <v>1.0</v>
      </c>
      <c r="CX27" s="85">
        <v>2.0</v>
      </c>
      <c r="CY27" s="86">
        <v>1.0</v>
      </c>
      <c r="CZ27" s="85">
        <v>0.0</v>
      </c>
      <c r="DA27" s="41"/>
      <c r="DB27" s="41"/>
      <c r="DC27" s="53"/>
      <c r="DD27" s="88">
        <v>1.0</v>
      </c>
      <c r="DE27" s="85">
        <v>2.0</v>
      </c>
      <c r="DF27" s="87">
        <v>1.0</v>
      </c>
    </row>
    <row r="28" ht="12.0" customHeight="1">
      <c r="A28" s="64"/>
      <c r="C28" s="57"/>
      <c r="E28" s="70">
        <v>26.0</v>
      </c>
      <c r="F28" s="71" t="s">
        <v>86</v>
      </c>
      <c r="G28" s="70" t="s">
        <v>87</v>
      </c>
      <c r="H28" s="70">
        <v>6.0</v>
      </c>
      <c r="J28" s="72">
        <v>26.0</v>
      </c>
      <c r="K28" s="73" t="s">
        <v>86</v>
      </c>
      <c r="L28" s="72">
        <v>11.55</v>
      </c>
      <c r="M28" s="72">
        <v>17.91</v>
      </c>
      <c r="N28" s="72">
        <v>14.55</v>
      </c>
      <c r="O28" s="93">
        <v>21.06</v>
      </c>
      <c r="P28" s="72">
        <v>16.54</v>
      </c>
      <c r="Q28" s="75" t="s">
        <v>34</v>
      </c>
      <c r="R28" s="72">
        <v>4.26</v>
      </c>
      <c r="S28" s="75" t="s">
        <v>34</v>
      </c>
      <c r="T28" s="72">
        <v>0.7</v>
      </c>
      <c r="U28" s="72">
        <v>7.45</v>
      </c>
      <c r="V28" s="72">
        <v>2.96</v>
      </c>
      <c r="W28" s="75" t="s">
        <v>34</v>
      </c>
      <c r="X28" s="75" t="s">
        <v>34</v>
      </c>
      <c r="Y28" s="72">
        <v>1.65</v>
      </c>
      <c r="Z28" s="72">
        <v>1.37</v>
      </c>
      <c r="AA28" s="4">
        <v>72.9</v>
      </c>
      <c r="AC28" s="72">
        <v>26.0</v>
      </c>
      <c r="AD28" s="73" t="s">
        <v>86</v>
      </c>
      <c r="AE28" s="72">
        <v>1.0</v>
      </c>
      <c r="AF28" s="72">
        <v>1.0</v>
      </c>
      <c r="AG28" s="72">
        <v>1.0</v>
      </c>
      <c r="AH28" s="93">
        <v>2.0</v>
      </c>
      <c r="AI28" s="72">
        <v>1.0</v>
      </c>
      <c r="AJ28" s="75" t="s">
        <v>34</v>
      </c>
      <c r="AK28" s="72">
        <v>0.0</v>
      </c>
      <c r="AL28" s="75" t="s">
        <v>34</v>
      </c>
      <c r="AM28" s="72">
        <v>0.0</v>
      </c>
      <c r="AN28" s="72">
        <v>0.0</v>
      </c>
      <c r="AO28" s="72">
        <v>0.0</v>
      </c>
      <c r="AP28" s="75" t="s">
        <v>34</v>
      </c>
      <c r="AQ28" s="75" t="s">
        <v>34</v>
      </c>
      <c r="AR28" s="72">
        <v>0.0</v>
      </c>
      <c r="AS28" s="72">
        <v>0.0</v>
      </c>
      <c r="AT28" s="4">
        <v>6.0</v>
      </c>
      <c r="AX28" s="53"/>
      <c r="AY28" s="90">
        <v>11.55</v>
      </c>
      <c r="AZ28" s="77">
        <v>17.91</v>
      </c>
      <c r="BA28" s="78">
        <f t="shared" si="2"/>
        <v>63.26</v>
      </c>
      <c r="BH28" s="57"/>
      <c r="BI28" s="79">
        <v>4.26</v>
      </c>
      <c r="BJ28" s="80">
        <v>0.0</v>
      </c>
      <c r="BK28" s="81">
        <v>0.0</v>
      </c>
      <c r="BL28" s="77">
        <v>1.65</v>
      </c>
      <c r="BM28" s="82">
        <v>1.37</v>
      </c>
      <c r="BS28" s="72">
        <v>14.55</v>
      </c>
      <c r="BT28" s="93">
        <v>21.06</v>
      </c>
      <c r="BU28" s="72">
        <v>16.54</v>
      </c>
      <c r="BV28" s="75">
        <v>0.0</v>
      </c>
      <c r="BW28" s="72">
        <v>0.7</v>
      </c>
      <c r="BX28" s="72">
        <v>7.45</v>
      </c>
      <c r="BY28" s="72">
        <v>2.96</v>
      </c>
      <c r="BZ28" s="75">
        <v>0.0</v>
      </c>
      <c r="CA28" s="83">
        <f t="shared" si="1"/>
        <v>63.26</v>
      </c>
      <c r="CJ28" s="84">
        <v>26.0</v>
      </c>
      <c r="CK28" s="64"/>
      <c r="CL28" s="85">
        <v>0.0</v>
      </c>
      <c r="CM28" s="86">
        <v>1.0</v>
      </c>
      <c r="CN28" s="85">
        <v>5.0</v>
      </c>
      <c r="CO28" s="86">
        <v>0.0</v>
      </c>
      <c r="CP28" s="85">
        <v>0.0</v>
      </c>
      <c r="CQ28" s="86">
        <v>0.0</v>
      </c>
      <c r="CR28" s="85">
        <v>0.0</v>
      </c>
      <c r="CS28" s="87">
        <v>0.0</v>
      </c>
      <c r="CT28" s="41"/>
      <c r="CU28" s="41"/>
      <c r="CV28" s="53"/>
      <c r="CW28" s="88">
        <v>0.0</v>
      </c>
      <c r="CX28" s="85">
        <v>5.0</v>
      </c>
      <c r="CY28" s="86">
        <v>1.0</v>
      </c>
      <c r="CZ28" s="85">
        <v>0.0</v>
      </c>
      <c r="DA28" s="41"/>
      <c r="DB28" s="41"/>
      <c r="DC28" s="53"/>
      <c r="DD28" s="88">
        <v>1.0</v>
      </c>
      <c r="DE28" s="85">
        <v>4.0</v>
      </c>
      <c r="DF28" s="87">
        <v>1.0</v>
      </c>
    </row>
    <row r="29" ht="12.0" customHeight="1">
      <c r="A29" s="64"/>
      <c r="C29" s="57"/>
      <c r="E29" s="70">
        <v>27.0</v>
      </c>
      <c r="F29" s="71" t="s">
        <v>88</v>
      </c>
      <c r="G29" s="70" t="s">
        <v>89</v>
      </c>
      <c r="H29" s="70">
        <v>5.0</v>
      </c>
      <c r="J29" s="72">
        <v>27.0</v>
      </c>
      <c r="K29" s="73" t="s">
        <v>88</v>
      </c>
      <c r="L29" s="72">
        <v>9.85</v>
      </c>
      <c r="M29" s="72">
        <v>23.71</v>
      </c>
      <c r="N29" s="72">
        <v>7.63</v>
      </c>
      <c r="O29" s="72">
        <v>20.84</v>
      </c>
      <c r="P29" s="72">
        <v>11.59</v>
      </c>
      <c r="Q29" s="75" t="s">
        <v>34</v>
      </c>
      <c r="R29" s="75" t="s">
        <v>34</v>
      </c>
      <c r="S29" s="75" t="s">
        <v>34</v>
      </c>
      <c r="T29" s="75" t="s">
        <v>34</v>
      </c>
      <c r="U29" s="101">
        <v>24.98</v>
      </c>
      <c r="V29" s="72">
        <v>0.8</v>
      </c>
      <c r="W29" s="75" t="s">
        <v>34</v>
      </c>
      <c r="X29" s="72">
        <v>0.07</v>
      </c>
      <c r="Y29" s="72">
        <v>0.05</v>
      </c>
      <c r="Z29" s="72">
        <v>0.48</v>
      </c>
      <c r="AA29" s="4">
        <v>73.77</v>
      </c>
      <c r="AC29" s="72">
        <v>27.0</v>
      </c>
      <c r="AD29" s="73" t="s">
        <v>88</v>
      </c>
      <c r="AE29" s="72">
        <v>0.0</v>
      </c>
      <c r="AF29" s="89">
        <v>2.0</v>
      </c>
      <c r="AG29" s="72">
        <v>0.0</v>
      </c>
      <c r="AH29" s="72">
        <v>1.0</v>
      </c>
      <c r="AI29" s="72">
        <v>0.0</v>
      </c>
      <c r="AJ29" s="75" t="s">
        <v>34</v>
      </c>
      <c r="AK29" s="75" t="s">
        <v>34</v>
      </c>
      <c r="AL29" s="75" t="s">
        <v>34</v>
      </c>
      <c r="AM29" s="75" t="s">
        <v>34</v>
      </c>
      <c r="AN29" s="101">
        <v>2.0</v>
      </c>
      <c r="AO29" s="72">
        <v>0.0</v>
      </c>
      <c r="AP29" s="75" t="s">
        <v>34</v>
      </c>
      <c r="AQ29" s="72">
        <v>0.0</v>
      </c>
      <c r="AR29" s="72">
        <v>0.0</v>
      </c>
      <c r="AS29" s="72">
        <v>0.0</v>
      </c>
      <c r="AT29" s="4">
        <v>5.0</v>
      </c>
      <c r="AX29" s="53"/>
      <c r="AY29" s="90">
        <v>9.85</v>
      </c>
      <c r="AZ29" s="77">
        <v>23.71</v>
      </c>
      <c r="BA29" s="78">
        <f t="shared" si="2"/>
        <v>65.91</v>
      </c>
      <c r="BH29" s="57"/>
      <c r="BI29" s="81">
        <v>0.0</v>
      </c>
      <c r="BJ29" s="80">
        <v>0.0</v>
      </c>
      <c r="BK29" s="81">
        <v>0.0</v>
      </c>
      <c r="BL29" s="77">
        <v>0.05</v>
      </c>
      <c r="BM29" s="82">
        <v>0.48</v>
      </c>
      <c r="BS29" s="72">
        <v>7.63</v>
      </c>
      <c r="BT29" s="72">
        <v>20.84</v>
      </c>
      <c r="BU29" s="72">
        <v>11.59</v>
      </c>
      <c r="BV29" s="75">
        <v>0.0</v>
      </c>
      <c r="BW29" s="75">
        <v>0.0</v>
      </c>
      <c r="BX29" s="101">
        <v>24.98</v>
      </c>
      <c r="BY29" s="72">
        <v>0.8</v>
      </c>
      <c r="BZ29" s="72">
        <v>0.07</v>
      </c>
      <c r="CA29" s="83">
        <f t="shared" si="1"/>
        <v>65.91</v>
      </c>
      <c r="CJ29" s="84">
        <v>27.0</v>
      </c>
      <c r="CK29" s="64"/>
      <c r="CL29" s="85">
        <v>0.0</v>
      </c>
      <c r="CM29" s="86">
        <v>1.0</v>
      </c>
      <c r="CN29" s="85">
        <v>4.0</v>
      </c>
      <c r="CO29" s="86">
        <v>0.0</v>
      </c>
      <c r="CP29" s="85">
        <v>0.0</v>
      </c>
      <c r="CQ29" s="86">
        <v>0.0</v>
      </c>
      <c r="CR29" s="85">
        <v>0.0</v>
      </c>
      <c r="CS29" s="87">
        <v>0.0</v>
      </c>
      <c r="CT29" s="41"/>
      <c r="CU29" s="41"/>
      <c r="CV29" s="53"/>
      <c r="CW29" s="88">
        <v>0.0</v>
      </c>
      <c r="CX29" s="85">
        <v>4.0</v>
      </c>
      <c r="CY29" s="86">
        <v>1.0</v>
      </c>
      <c r="CZ29" s="85">
        <v>0.0</v>
      </c>
      <c r="DA29" s="41"/>
      <c r="DB29" s="41"/>
      <c r="DC29" s="53"/>
      <c r="DD29" s="88">
        <v>0.0</v>
      </c>
      <c r="DE29" s="85">
        <v>4.0</v>
      </c>
      <c r="DF29" s="87">
        <v>1.0</v>
      </c>
    </row>
    <row r="30" ht="12.0" customHeight="1">
      <c r="A30" s="102"/>
      <c r="B30" s="103"/>
      <c r="C30" s="104"/>
      <c r="E30" s="70">
        <v>28.0</v>
      </c>
      <c r="F30" s="71" t="s">
        <v>90</v>
      </c>
      <c r="G30" s="70" t="s">
        <v>91</v>
      </c>
      <c r="H30" s="70">
        <v>5.0</v>
      </c>
      <c r="J30" s="72">
        <v>28.0</v>
      </c>
      <c r="K30" s="73" t="s">
        <v>90</v>
      </c>
      <c r="L30" s="72">
        <v>5.71</v>
      </c>
      <c r="M30" s="72">
        <v>20.73</v>
      </c>
      <c r="N30" s="72">
        <v>4.44</v>
      </c>
      <c r="O30" s="93">
        <v>29.94</v>
      </c>
      <c r="P30" s="72">
        <v>15.65</v>
      </c>
      <c r="Q30" s="75" t="s">
        <v>34</v>
      </c>
      <c r="R30" s="72">
        <v>2.52</v>
      </c>
      <c r="S30" s="75" t="s">
        <v>34</v>
      </c>
      <c r="T30" s="75" t="s">
        <v>34</v>
      </c>
      <c r="U30" s="72">
        <v>20.25</v>
      </c>
      <c r="V30" s="75" t="s">
        <v>34</v>
      </c>
      <c r="W30" s="75" t="s">
        <v>34</v>
      </c>
      <c r="X30" s="75" t="s">
        <v>34</v>
      </c>
      <c r="Y30" s="72">
        <v>0.04</v>
      </c>
      <c r="Z30" s="72">
        <v>0.72</v>
      </c>
      <c r="AA30" s="4">
        <v>73.84</v>
      </c>
      <c r="AC30" s="72">
        <v>28.0</v>
      </c>
      <c r="AD30" s="73" t="s">
        <v>90</v>
      </c>
      <c r="AE30" s="72">
        <v>0.0</v>
      </c>
      <c r="AF30" s="72">
        <v>1.0</v>
      </c>
      <c r="AG30" s="72">
        <v>0.0</v>
      </c>
      <c r="AH30" s="93">
        <v>2.0</v>
      </c>
      <c r="AI30" s="72">
        <v>1.0</v>
      </c>
      <c r="AJ30" s="75" t="s">
        <v>34</v>
      </c>
      <c r="AK30" s="72">
        <v>0.0</v>
      </c>
      <c r="AL30" s="75" t="s">
        <v>34</v>
      </c>
      <c r="AM30" s="75" t="s">
        <v>34</v>
      </c>
      <c r="AN30" s="72">
        <v>1.0</v>
      </c>
      <c r="AO30" s="75" t="s">
        <v>34</v>
      </c>
      <c r="AP30" s="75" t="s">
        <v>34</v>
      </c>
      <c r="AQ30" s="75" t="s">
        <v>34</v>
      </c>
      <c r="AR30" s="72">
        <v>0.0</v>
      </c>
      <c r="AS30" s="72">
        <v>0.0</v>
      </c>
      <c r="AT30" s="4">
        <v>5.0</v>
      </c>
      <c r="AX30" s="53"/>
      <c r="AY30" s="90">
        <v>5.71</v>
      </c>
      <c r="AZ30" s="77">
        <v>20.73</v>
      </c>
      <c r="BA30" s="78">
        <f t="shared" si="2"/>
        <v>70.28</v>
      </c>
      <c r="BH30" s="57"/>
      <c r="BI30" s="79">
        <v>2.52</v>
      </c>
      <c r="BJ30" s="80">
        <v>0.0</v>
      </c>
      <c r="BK30" s="81">
        <v>0.0</v>
      </c>
      <c r="BL30" s="77">
        <v>0.04</v>
      </c>
      <c r="BM30" s="82">
        <v>0.72</v>
      </c>
      <c r="BS30" s="72">
        <v>4.44</v>
      </c>
      <c r="BT30" s="93">
        <v>29.94</v>
      </c>
      <c r="BU30" s="72">
        <v>15.65</v>
      </c>
      <c r="BV30" s="75">
        <v>0.0</v>
      </c>
      <c r="BW30" s="75">
        <v>0.0</v>
      </c>
      <c r="BX30" s="72">
        <v>20.25</v>
      </c>
      <c r="BY30" s="75">
        <v>0.0</v>
      </c>
      <c r="BZ30" s="75">
        <v>0.0</v>
      </c>
      <c r="CA30" s="83">
        <f t="shared" si="1"/>
        <v>70.28</v>
      </c>
      <c r="CJ30" s="84">
        <v>28.0</v>
      </c>
      <c r="CK30" s="64"/>
      <c r="CL30" s="85">
        <v>0.0</v>
      </c>
      <c r="CM30" s="86">
        <v>1.0</v>
      </c>
      <c r="CN30" s="85">
        <v>4.0</v>
      </c>
      <c r="CO30" s="86">
        <v>0.0</v>
      </c>
      <c r="CP30" s="85">
        <v>0.0</v>
      </c>
      <c r="CQ30" s="86">
        <v>0.0</v>
      </c>
      <c r="CR30" s="85">
        <v>0.0</v>
      </c>
      <c r="CS30" s="87">
        <v>0.0</v>
      </c>
      <c r="CT30" s="41"/>
      <c r="CU30" s="41"/>
      <c r="CV30" s="53"/>
      <c r="CW30" s="88">
        <v>0.0</v>
      </c>
      <c r="CX30" s="85">
        <v>4.0</v>
      </c>
      <c r="CY30" s="86">
        <v>1.0</v>
      </c>
      <c r="CZ30" s="85">
        <v>0.0</v>
      </c>
      <c r="DA30" s="41"/>
      <c r="DB30" s="41"/>
      <c r="DC30" s="53"/>
      <c r="DD30" s="88">
        <v>0.0</v>
      </c>
      <c r="DE30" s="85">
        <v>4.0</v>
      </c>
      <c r="DF30" s="87">
        <v>1.0</v>
      </c>
    </row>
    <row r="31" ht="12.0" customHeight="1">
      <c r="A31" s="69"/>
      <c r="B31" s="105"/>
      <c r="C31" s="105"/>
      <c r="E31" s="70">
        <v>29.0</v>
      </c>
      <c r="F31" s="71" t="s">
        <v>92</v>
      </c>
      <c r="G31" s="70" t="s">
        <v>93</v>
      </c>
      <c r="H31" s="70">
        <v>5.0</v>
      </c>
      <c r="J31" s="72">
        <v>29.0</v>
      </c>
      <c r="K31" s="73" t="s">
        <v>92</v>
      </c>
      <c r="L31" s="74">
        <v>62.29</v>
      </c>
      <c r="M31" s="72">
        <v>11.35</v>
      </c>
      <c r="N31" s="72">
        <v>1.98</v>
      </c>
      <c r="O31" s="75" t="s">
        <v>34</v>
      </c>
      <c r="P31" s="72">
        <v>1.64</v>
      </c>
      <c r="Q31" s="72">
        <v>22.22</v>
      </c>
      <c r="R31" s="75" t="s">
        <v>34</v>
      </c>
      <c r="S31" s="75" t="s">
        <v>34</v>
      </c>
      <c r="T31" s="75" t="s">
        <v>34</v>
      </c>
      <c r="U31" s="75" t="s">
        <v>34</v>
      </c>
      <c r="V31" s="75" t="s">
        <v>34</v>
      </c>
      <c r="W31" s="75" t="s">
        <v>34</v>
      </c>
      <c r="X31" s="75" t="s">
        <v>34</v>
      </c>
      <c r="Y31" s="75" t="s">
        <v>34</v>
      </c>
      <c r="Z31" s="72">
        <v>0.52</v>
      </c>
      <c r="AA31" s="4">
        <v>82.32</v>
      </c>
      <c r="AC31" s="72">
        <v>29.0</v>
      </c>
      <c r="AD31" s="73" t="s">
        <v>92</v>
      </c>
      <c r="AE31" s="74">
        <v>4.0</v>
      </c>
      <c r="AF31" s="72">
        <v>0.0</v>
      </c>
      <c r="AG31" s="72">
        <v>0.0</v>
      </c>
      <c r="AH31" s="75" t="s">
        <v>34</v>
      </c>
      <c r="AI31" s="72">
        <v>0.0</v>
      </c>
      <c r="AJ31" s="72">
        <v>1.0</v>
      </c>
      <c r="AK31" s="75" t="s">
        <v>34</v>
      </c>
      <c r="AL31" s="75" t="s">
        <v>34</v>
      </c>
      <c r="AM31" s="75" t="s">
        <v>34</v>
      </c>
      <c r="AN31" s="75" t="s">
        <v>34</v>
      </c>
      <c r="AO31" s="75" t="s">
        <v>34</v>
      </c>
      <c r="AP31" s="75" t="s">
        <v>34</v>
      </c>
      <c r="AQ31" s="75" t="s">
        <v>34</v>
      </c>
      <c r="AR31" s="75" t="s">
        <v>34</v>
      </c>
      <c r="AS31" s="72">
        <v>0.0</v>
      </c>
      <c r="AT31" s="4">
        <v>5.0</v>
      </c>
      <c r="AX31" s="53"/>
      <c r="AY31" s="76">
        <v>62.29</v>
      </c>
      <c r="AZ31" s="77">
        <v>11.35</v>
      </c>
      <c r="BA31" s="78">
        <f t="shared" si="2"/>
        <v>25.84</v>
      </c>
      <c r="BH31" s="57"/>
      <c r="BI31" s="81">
        <v>0.0</v>
      </c>
      <c r="BJ31" s="80">
        <v>0.0</v>
      </c>
      <c r="BK31" s="81">
        <v>0.0</v>
      </c>
      <c r="BL31" s="80">
        <v>0.0</v>
      </c>
      <c r="BM31" s="82">
        <v>0.52</v>
      </c>
      <c r="BS31" s="72">
        <v>1.98</v>
      </c>
      <c r="BT31" s="75">
        <v>0.0</v>
      </c>
      <c r="BU31" s="72">
        <v>1.64</v>
      </c>
      <c r="BV31" s="72">
        <v>22.22</v>
      </c>
      <c r="BW31" s="75">
        <v>0.0</v>
      </c>
      <c r="BX31" s="75">
        <v>0.0</v>
      </c>
      <c r="BY31" s="75">
        <v>0.0</v>
      </c>
      <c r="BZ31" s="75">
        <v>0.0</v>
      </c>
      <c r="CA31" s="83">
        <f t="shared" si="1"/>
        <v>25.84</v>
      </c>
      <c r="CJ31" s="84">
        <v>29.0</v>
      </c>
      <c r="CK31" s="64"/>
      <c r="CL31" s="85">
        <v>4.0</v>
      </c>
      <c r="CM31" s="86">
        <v>0.0</v>
      </c>
      <c r="CN31" s="85">
        <v>1.0</v>
      </c>
      <c r="CO31" s="86">
        <v>0.0</v>
      </c>
      <c r="CP31" s="85">
        <v>0.0</v>
      </c>
      <c r="CQ31" s="86">
        <v>0.0</v>
      </c>
      <c r="CR31" s="85">
        <v>0.0</v>
      </c>
      <c r="CS31" s="87">
        <v>0.0</v>
      </c>
      <c r="CT31" s="41"/>
      <c r="CU31" s="41"/>
      <c r="CV31" s="53"/>
      <c r="CW31" s="88">
        <v>4.0</v>
      </c>
      <c r="CX31" s="85">
        <v>1.0</v>
      </c>
      <c r="CY31" s="86">
        <v>0.0</v>
      </c>
      <c r="CZ31" s="85">
        <v>0.0</v>
      </c>
      <c r="DA31" s="41"/>
      <c r="DB31" s="41"/>
      <c r="DC31" s="53"/>
      <c r="DD31" s="88">
        <v>4.0</v>
      </c>
      <c r="DE31" s="85">
        <v>1.0</v>
      </c>
      <c r="DF31" s="87">
        <v>0.0</v>
      </c>
    </row>
    <row r="32" ht="12.0" customHeight="1">
      <c r="A32" s="69"/>
      <c r="B32" s="105"/>
      <c r="C32" s="105"/>
      <c r="E32" s="70">
        <v>30.0</v>
      </c>
      <c r="F32" s="71" t="s">
        <v>94</v>
      </c>
      <c r="G32" s="70" t="s">
        <v>95</v>
      </c>
      <c r="H32" s="70">
        <v>4.0</v>
      </c>
      <c r="J32" s="72">
        <v>30.0</v>
      </c>
      <c r="K32" s="73" t="s">
        <v>94</v>
      </c>
      <c r="L32" s="74">
        <v>47.0</v>
      </c>
      <c r="M32" s="72">
        <v>22.39</v>
      </c>
      <c r="N32" s="72">
        <v>3.83</v>
      </c>
      <c r="O32" s="75" t="s">
        <v>34</v>
      </c>
      <c r="P32" s="72">
        <v>1.57</v>
      </c>
      <c r="Q32" s="72">
        <v>24.16</v>
      </c>
      <c r="R32" s="75" t="s">
        <v>34</v>
      </c>
      <c r="S32" s="75" t="s">
        <v>34</v>
      </c>
      <c r="T32" s="72">
        <v>0.05</v>
      </c>
      <c r="U32" s="75" t="s">
        <v>34</v>
      </c>
      <c r="V32" s="75" t="s">
        <v>34</v>
      </c>
      <c r="W32" s="75" t="s">
        <v>34</v>
      </c>
      <c r="X32" s="75" t="s">
        <v>34</v>
      </c>
      <c r="Y32" s="75" t="s">
        <v>34</v>
      </c>
      <c r="Z32" s="72">
        <v>1.0</v>
      </c>
      <c r="AA32" s="4">
        <v>81.02</v>
      </c>
      <c r="AC32" s="72">
        <v>30.0</v>
      </c>
      <c r="AD32" s="73" t="s">
        <v>94</v>
      </c>
      <c r="AE32" s="74">
        <v>2.0</v>
      </c>
      <c r="AF32" s="72">
        <v>1.0</v>
      </c>
      <c r="AG32" s="72">
        <v>0.0</v>
      </c>
      <c r="AH32" s="75" t="s">
        <v>34</v>
      </c>
      <c r="AI32" s="72">
        <v>0.0</v>
      </c>
      <c r="AJ32" s="72">
        <v>1.0</v>
      </c>
      <c r="AK32" s="75" t="s">
        <v>34</v>
      </c>
      <c r="AL32" s="75" t="s">
        <v>34</v>
      </c>
      <c r="AM32" s="72">
        <v>0.0</v>
      </c>
      <c r="AN32" s="75" t="s">
        <v>34</v>
      </c>
      <c r="AO32" s="75" t="s">
        <v>34</v>
      </c>
      <c r="AP32" s="75" t="s">
        <v>34</v>
      </c>
      <c r="AQ32" s="75" t="s">
        <v>34</v>
      </c>
      <c r="AR32" s="75" t="s">
        <v>34</v>
      </c>
      <c r="AS32" s="72">
        <v>0.0</v>
      </c>
      <c r="AT32" s="4">
        <v>4.0</v>
      </c>
      <c r="AX32" s="53"/>
      <c r="AY32" s="76">
        <v>47.0</v>
      </c>
      <c r="AZ32" s="77">
        <v>22.39</v>
      </c>
      <c r="BA32" s="78">
        <f t="shared" si="2"/>
        <v>29.61</v>
      </c>
      <c r="BH32" s="57"/>
      <c r="BI32" s="81">
        <v>0.0</v>
      </c>
      <c r="BJ32" s="80">
        <v>0.0</v>
      </c>
      <c r="BK32" s="81">
        <v>0.0</v>
      </c>
      <c r="BL32" s="80">
        <v>0.0</v>
      </c>
      <c r="BM32" s="82">
        <v>1.0</v>
      </c>
      <c r="BS32" s="72">
        <v>3.83</v>
      </c>
      <c r="BT32" s="75">
        <v>0.0</v>
      </c>
      <c r="BU32" s="72">
        <v>1.57</v>
      </c>
      <c r="BV32" s="72">
        <v>24.16</v>
      </c>
      <c r="BW32" s="72">
        <v>0.05</v>
      </c>
      <c r="BX32" s="75">
        <v>0.0</v>
      </c>
      <c r="BY32" s="75">
        <v>0.0</v>
      </c>
      <c r="BZ32" s="75">
        <v>0.0</v>
      </c>
      <c r="CA32" s="83">
        <f t="shared" si="1"/>
        <v>29.61</v>
      </c>
      <c r="CJ32" s="84">
        <v>30.0</v>
      </c>
      <c r="CK32" s="64"/>
      <c r="CL32" s="85">
        <v>2.0</v>
      </c>
      <c r="CM32" s="86">
        <v>1.0</v>
      </c>
      <c r="CN32" s="85">
        <v>1.0</v>
      </c>
      <c r="CO32" s="86">
        <v>0.0</v>
      </c>
      <c r="CP32" s="85">
        <v>0.0</v>
      </c>
      <c r="CQ32" s="86">
        <v>0.0</v>
      </c>
      <c r="CR32" s="85">
        <v>0.0</v>
      </c>
      <c r="CS32" s="87">
        <v>0.0</v>
      </c>
      <c r="CT32" s="41"/>
      <c r="CU32" s="41"/>
      <c r="CV32" s="53"/>
      <c r="CW32" s="88">
        <v>2.0</v>
      </c>
      <c r="CX32" s="85">
        <v>1.0</v>
      </c>
      <c r="CY32" s="86">
        <v>1.0</v>
      </c>
      <c r="CZ32" s="85">
        <v>0.0</v>
      </c>
      <c r="DA32" s="41"/>
      <c r="DB32" s="41"/>
      <c r="DC32" s="53"/>
      <c r="DD32" s="88">
        <v>2.0</v>
      </c>
      <c r="DE32" s="85">
        <v>1.0</v>
      </c>
      <c r="DF32" s="87">
        <v>1.0</v>
      </c>
    </row>
    <row r="33" ht="12.0" customHeight="1">
      <c r="A33" s="69"/>
      <c r="B33" s="105"/>
      <c r="C33" s="105"/>
      <c r="E33" s="70">
        <v>31.0</v>
      </c>
      <c r="F33" s="71" t="s">
        <v>96</v>
      </c>
      <c r="G33" s="70" t="s">
        <v>97</v>
      </c>
      <c r="H33" s="70">
        <v>5.0</v>
      </c>
      <c r="J33" s="72">
        <v>31.0</v>
      </c>
      <c r="K33" s="73" t="s">
        <v>96</v>
      </c>
      <c r="L33" s="74">
        <v>57.05</v>
      </c>
      <c r="M33" s="72">
        <v>12.89</v>
      </c>
      <c r="N33" s="72">
        <v>3.61</v>
      </c>
      <c r="O33" s="75" t="s">
        <v>34</v>
      </c>
      <c r="P33" s="75" t="s">
        <v>34</v>
      </c>
      <c r="Q33" s="72">
        <v>26.05</v>
      </c>
      <c r="R33" s="75" t="s">
        <v>34</v>
      </c>
      <c r="S33" s="75" t="s">
        <v>34</v>
      </c>
      <c r="T33" s="75" t="s">
        <v>34</v>
      </c>
      <c r="U33" s="75" t="s">
        <v>34</v>
      </c>
      <c r="V33" s="75" t="s">
        <v>34</v>
      </c>
      <c r="W33" s="75" t="s">
        <v>34</v>
      </c>
      <c r="X33" s="75" t="s">
        <v>34</v>
      </c>
      <c r="Y33" s="75" t="s">
        <v>34</v>
      </c>
      <c r="Z33" s="72">
        <v>0.4</v>
      </c>
      <c r="AA33" s="4">
        <v>82.48</v>
      </c>
      <c r="AC33" s="72">
        <v>31.0</v>
      </c>
      <c r="AD33" s="73" t="s">
        <v>96</v>
      </c>
      <c r="AE33" s="74">
        <v>4.0</v>
      </c>
      <c r="AF33" s="72">
        <v>0.0</v>
      </c>
      <c r="AG33" s="72">
        <v>0.0</v>
      </c>
      <c r="AH33" s="75" t="s">
        <v>34</v>
      </c>
      <c r="AI33" s="75" t="s">
        <v>34</v>
      </c>
      <c r="AJ33" s="72">
        <v>1.0</v>
      </c>
      <c r="AK33" s="75" t="s">
        <v>34</v>
      </c>
      <c r="AL33" s="75" t="s">
        <v>34</v>
      </c>
      <c r="AM33" s="75" t="s">
        <v>34</v>
      </c>
      <c r="AN33" s="75" t="s">
        <v>34</v>
      </c>
      <c r="AO33" s="75" t="s">
        <v>34</v>
      </c>
      <c r="AP33" s="75" t="s">
        <v>34</v>
      </c>
      <c r="AQ33" s="75" t="s">
        <v>34</v>
      </c>
      <c r="AR33" s="75" t="s">
        <v>34</v>
      </c>
      <c r="AS33" s="72">
        <v>0.0</v>
      </c>
      <c r="AT33" s="4">
        <v>5.0</v>
      </c>
      <c r="AX33" s="53"/>
      <c r="AY33" s="76">
        <v>57.05</v>
      </c>
      <c r="AZ33" s="77">
        <v>12.89</v>
      </c>
      <c r="BA33" s="78">
        <f t="shared" si="2"/>
        <v>29.66</v>
      </c>
      <c r="BH33" s="57"/>
      <c r="BI33" s="81">
        <v>0.0</v>
      </c>
      <c r="BJ33" s="80">
        <v>0.0</v>
      </c>
      <c r="BK33" s="81">
        <v>0.0</v>
      </c>
      <c r="BL33" s="80">
        <v>0.0</v>
      </c>
      <c r="BM33" s="82">
        <v>0.4</v>
      </c>
      <c r="BS33" s="72">
        <v>3.61</v>
      </c>
      <c r="BT33" s="75">
        <v>0.0</v>
      </c>
      <c r="BU33" s="75">
        <v>0.0</v>
      </c>
      <c r="BV33" s="72">
        <v>26.05</v>
      </c>
      <c r="BW33" s="75">
        <v>0.0</v>
      </c>
      <c r="BX33" s="75">
        <v>0.0</v>
      </c>
      <c r="BY33" s="75">
        <v>0.0</v>
      </c>
      <c r="BZ33" s="75">
        <v>0.0</v>
      </c>
      <c r="CA33" s="83">
        <f t="shared" si="1"/>
        <v>29.66</v>
      </c>
      <c r="CJ33" s="84">
        <v>31.0</v>
      </c>
      <c r="CK33" s="64"/>
      <c r="CL33" s="85">
        <v>3.0</v>
      </c>
      <c r="CM33" s="86">
        <v>0.0</v>
      </c>
      <c r="CN33" s="85">
        <v>2.0</v>
      </c>
      <c r="CO33" s="86">
        <v>0.0</v>
      </c>
      <c r="CP33" s="85">
        <v>0.0</v>
      </c>
      <c r="CQ33" s="86">
        <v>0.0</v>
      </c>
      <c r="CR33" s="85">
        <v>0.0</v>
      </c>
      <c r="CS33" s="87">
        <v>0.0</v>
      </c>
      <c r="CT33" s="41"/>
      <c r="CU33" s="41"/>
      <c r="CV33" s="53"/>
      <c r="CW33" s="88">
        <v>3.0</v>
      </c>
      <c r="CX33" s="85">
        <v>2.0</v>
      </c>
      <c r="CY33" s="86">
        <v>0.0</v>
      </c>
      <c r="CZ33" s="85">
        <v>0.0</v>
      </c>
      <c r="DA33" s="41"/>
      <c r="DB33" s="41"/>
      <c r="DC33" s="53"/>
      <c r="DD33" s="88">
        <v>3.0</v>
      </c>
      <c r="DE33" s="85">
        <v>2.0</v>
      </c>
      <c r="DF33" s="87">
        <v>0.0</v>
      </c>
    </row>
    <row r="34" ht="12.0" customHeight="1">
      <c r="A34" s="69"/>
      <c r="B34" s="105"/>
      <c r="C34" s="105"/>
      <c r="E34" s="70">
        <v>32.0</v>
      </c>
      <c r="F34" s="71" t="s">
        <v>98</v>
      </c>
      <c r="G34" s="70" t="s">
        <v>99</v>
      </c>
      <c r="H34" s="70">
        <v>6.0</v>
      </c>
      <c r="J34" s="72">
        <v>32.0</v>
      </c>
      <c r="K34" s="73" t="s">
        <v>98</v>
      </c>
      <c r="L34" s="74">
        <v>47.47</v>
      </c>
      <c r="M34" s="72">
        <v>19.91</v>
      </c>
      <c r="N34" s="72">
        <v>1.09</v>
      </c>
      <c r="O34" s="75" t="s">
        <v>34</v>
      </c>
      <c r="P34" s="72">
        <v>3.55</v>
      </c>
      <c r="Q34" s="72">
        <v>27.0</v>
      </c>
      <c r="R34" s="75" t="s">
        <v>34</v>
      </c>
      <c r="S34" s="75" t="s">
        <v>34</v>
      </c>
      <c r="T34" s="75" t="s">
        <v>34</v>
      </c>
      <c r="U34" s="75" t="s">
        <v>34</v>
      </c>
      <c r="V34" s="75" t="s">
        <v>34</v>
      </c>
      <c r="W34" s="75" t="s">
        <v>34</v>
      </c>
      <c r="X34" s="75" t="s">
        <v>34</v>
      </c>
      <c r="Y34" s="75" t="s">
        <v>34</v>
      </c>
      <c r="Z34" s="72">
        <v>0.98</v>
      </c>
      <c r="AA34" s="4">
        <v>85.34</v>
      </c>
      <c r="AC34" s="72">
        <v>32.0</v>
      </c>
      <c r="AD34" s="73" t="s">
        <v>98</v>
      </c>
      <c r="AE34" s="74">
        <v>3.0</v>
      </c>
      <c r="AF34" s="72">
        <v>1.0</v>
      </c>
      <c r="AG34" s="72">
        <v>0.0</v>
      </c>
      <c r="AH34" s="75" t="s">
        <v>34</v>
      </c>
      <c r="AI34" s="72">
        <v>0.0</v>
      </c>
      <c r="AJ34" s="72">
        <v>2.0</v>
      </c>
      <c r="AK34" s="75" t="s">
        <v>34</v>
      </c>
      <c r="AL34" s="75" t="s">
        <v>34</v>
      </c>
      <c r="AM34" s="75" t="s">
        <v>34</v>
      </c>
      <c r="AN34" s="75" t="s">
        <v>34</v>
      </c>
      <c r="AO34" s="75" t="s">
        <v>34</v>
      </c>
      <c r="AP34" s="75" t="s">
        <v>34</v>
      </c>
      <c r="AQ34" s="75" t="s">
        <v>34</v>
      </c>
      <c r="AR34" s="75" t="s">
        <v>34</v>
      </c>
      <c r="AS34" s="72">
        <v>0.0</v>
      </c>
      <c r="AT34" s="4">
        <v>6.0</v>
      </c>
      <c r="AX34" s="53"/>
      <c r="AY34" s="76">
        <v>47.47</v>
      </c>
      <c r="AZ34" s="77">
        <v>19.91</v>
      </c>
      <c r="BA34" s="78">
        <f t="shared" si="2"/>
        <v>31.64</v>
      </c>
      <c r="BH34" s="57"/>
      <c r="BI34" s="81">
        <v>0.0</v>
      </c>
      <c r="BJ34" s="80">
        <v>0.0</v>
      </c>
      <c r="BK34" s="81">
        <v>0.0</v>
      </c>
      <c r="BL34" s="80">
        <v>0.0</v>
      </c>
      <c r="BM34" s="82">
        <v>0.98</v>
      </c>
      <c r="BS34" s="72">
        <v>1.09</v>
      </c>
      <c r="BT34" s="75">
        <v>0.0</v>
      </c>
      <c r="BU34" s="72">
        <v>3.55</v>
      </c>
      <c r="BV34" s="72">
        <v>27.0</v>
      </c>
      <c r="BW34" s="75">
        <v>0.0</v>
      </c>
      <c r="BX34" s="75">
        <v>0.0</v>
      </c>
      <c r="BY34" s="75">
        <v>0.0</v>
      </c>
      <c r="BZ34" s="75">
        <v>0.0</v>
      </c>
      <c r="CA34" s="83">
        <f t="shared" si="1"/>
        <v>31.64</v>
      </c>
      <c r="CJ34" s="84">
        <v>32.0</v>
      </c>
      <c r="CK34" s="64"/>
      <c r="CL34" s="85">
        <v>3.0</v>
      </c>
      <c r="CM34" s="86">
        <v>1.0</v>
      </c>
      <c r="CN34" s="85">
        <v>2.0</v>
      </c>
      <c r="CO34" s="86">
        <v>0.0</v>
      </c>
      <c r="CP34" s="85">
        <v>0.0</v>
      </c>
      <c r="CQ34" s="86">
        <v>0.0</v>
      </c>
      <c r="CR34" s="85">
        <v>0.0</v>
      </c>
      <c r="CS34" s="87">
        <v>0.0</v>
      </c>
      <c r="CT34" s="41"/>
      <c r="CU34" s="41"/>
      <c r="CV34" s="53"/>
      <c r="CW34" s="88">
        <v>3.0</v>
      </c>
      <c r="CX34" s="85">
        <v>2.0</v>
      </c>
      <c r="CY34" s="86">
        <v>1.0</v>
      </c>
      <c r="CZ34" s="85">
        <v>0.0</v>
      </c>
      <c r="DA34" s="41"/>
      <c r="DB34" s="41"/>
      <c r="DC34" s="53"/>
      <c r="DD34" s="88">
        <v>3.0</v>
      </c>
      <c r="DE34" s="85">
        <v>2.0</v>
      </c>
      <c r="DF34" s="87">
        <v>1.0</v>
      </c>
    </row>
    <row r="35" ht="12.0" customHeight="1">
      <c r="A35" s="69"/>
      <c r="B35" s="105"/>
      <c r="C35" s="105"/>
      <c r="E35" s="70">
        <v>33.0</v>
      </c>
      <c r="F35" s="71" t="s">
        <v>100</v>
      </c>
      <c r="G35" s="70" t="s">
        <v>101</v>
      </c>
      <c r="H35" s="70">
        <v>5.0</v>
      </c>
      <c r="J35" s="72">
        <v>33.0</v>
      </c>
      <c r="K35" s="73" t="s">
        <v>100</v>
      </c>
      <c r="L35" s="74">
        <v>48.47</v>
      </c>
      <c r="M35" s="72">
        <v>12.86</v>
      </c>
      <c r="N35" s="72">
        <v>4.02</v>
      </c>
      <c r="O35" s="72">
        <v>1.26</v>
      </c>
      <c r="P35" s="72">
        <v>2.36</v>
      </c>
      <c r="Q35" s="72">
        <v>30.8</v>
      </c>
      <c r="R35" s="75" t="s">
        <v>34</v>
      </c>
      <c r="S35" s="75" t="s">
        <v>34</v>
      </c>
      <c r="T35" s="75" t="s">
        <v>34</v>
      </c>
      <c r="U35" s="75" t="s">
        <v>34</v>
      </c>
      <c r="V35" s="75" t="s">
        <v>34</v>
      </c>
      <c r="W35" s="75" t="s">
        <v>34</v>
      </c>
      <c r="X35" s="75" t="s">
        <v>34</v>
      </c>
      <c r="Y35" s="75" t="s">
        <v>34</v>
      </c>
      <c r="Z35" s="72">
        <v>0.23</v>
      </c>
      <c r="AA35" s="4">
        <v>87.97</v>
      </c>
      <c r="AC35" s="72">
        <v>33.0</v>
      </c>
      <c r="AD35" s="73" t="s">
        <v>100</v>
      </c>
      <c r="AE35" s="74">
        <v>3.0</v>
      </c>
      <c r="AF35" s="72">
        <v>0.0</v>
      </c>
      <c r="AG35" s="72">
        <v>0.0</v>
      </c>
      <c r="AH35" s="72">
        <v>0.0</v>
      </c>
      <c r="AI35" s="72">
        <v>0.0</v>
      </c>
      <c r="AJ35" s="72">
        <v>2.0</v>
      </c>
      <c r="AK35" s="75" t="s">
        <v>34</v>
      </c>
      <c r="AL35" s="75" t="s">
        <v>34</v>
      </c>
      <c r="AM35" s="75" t="s">
        <v>34</v>
      </c>
      <c r="AN35" s="75" t="s">
        <v>34</v>
      </c>
      <c r="AO35" s="75" t="s">
        <v>34</v>
      </c>
      <c r="AP35" s="75" t="s">
        <v>34</v>
      </c>
      <c r="AQ35" s="75" t="s">
        <v>34</v>
      </c>
      <c r="AR35" s="75" t="s">
        <v>34</v>
      </c>
      <c r="AS35" s="72">
        <v>0.0</v>
      </c>
      <c r="AT35" s="4">
        <v>5.0</v>
      </c>
      <c r="AX35" s="53"/>
      <c r="AY35" s="76">
        <v>48.47</v>
      </c>
      <c r="AZ35" s="77">
        <v>12.86</v>
      </c>
      <c r="BA35" s="78">
        <f t="shared" si="2"/>
        <v>38.44</v>
      </c>
      <c r="BH35" s="57"/>
      <c r="BI35" s="81">
        <v>0.0</v>
      </c>
      <c r="BJ35" s="80">
        <v>0.0</v>
      </c>
      <c r="BK35" s="81">
        <v>0.0</v>
      </c>
      <c r="BL35" s="80">
        <v>0.0</v>
      </c>
      <c r="BM35" s="82">
        <v>0.23</v>
      </c>
      <c r="BS35" s="72">
        <v>4.02</v>
      </c>
      <c r="BT35" s="72">
        <v>1.26</v>
      </c>
      <c r="BU35" s="72">
        <v>2.36</v>
      </c>
      <c r="BV35" s="72">
        <v>30.8</v>
      </c>
      <c r="BW35" s="75">
        <v>0.0</v>
      </c>
      <c r="BX35" s="75">
        <v>0.0</v>
      </c>
      <c r="BY35" s="75">
        <v>0.0</v>
      </c>
      <c r="BZ35" s="75">
        <v>0.0</v>
      </c>
      <c r="CA35" s="83">
        <f t="shared" si="1"/>
        <v>38.44</v>
      </c>
      <c r="CJ35" s="84">
        <v>33.0</v>
      </c>
      <c r="CK35" s="64"/>
      <c r="CL35" s="85">
        <v>3.0</v>
      </c>
      <c r="CM35" s="86">
        <v>0.0</v>
      </c>
      <c r="CN35" s="85">
        <v>2.0</v>
      </c>
      <c r="CO35" s="86">
        <v>0.0</v>
      </c>
      <c r="CP35" s="85">
        <v>0.0</v>
      </c>
      <c r="CQ35" s="86">
        <v>0.0</v>
      </c>
      <c r="CR35" s="85">
        <v>0.0</v>
      </c>
      <c r="CS35" s="87">
        <v>0.0</v>
      </c>
      <c r="CT35" s="41"/>
      <c r="CU35" s="41"/>
      <c r="CV35" s="53"/>
      <c r="CW35" s="88">
        <v>3.0</v>
      </c>
      <c r="CX35" s="85">
        <v>2.0</v>
      </c>
      <c r="CY35" s="86">
        <v>0.0</v>
      </c>
      <c r="CZ35" s="85">
        <v>0.0</v>
      </c>
      <c r="DA35" s="41"/>
      <c r="DB35" s="41"/>
      <c r="DC35" s="53"/>
      <c r="DD35" s="88">
        <v>3.0</v>
      </c>
      <c r="DE35" s="85">
        <v>2.0</v>
      </c>
      <c r="DF35" s="87">
        <v>0.0</v>
      </c>
    </row>
    <row r="36" ht="12.0" customHeight="1">
      <c r="E36" s="70">
        <v>34.0</v>
      </c>
      <c r="F36" s="71" t="s">
        <v>102</v>
      </c>
      <c r="G36" s="70" t="s">
        <v>103</v>
      </c>
      <c r="H36" s="70">
        <v>4.0</v>
      </c>
      <c r="J36" s="72">
        <v>34.0</v>
      </c>
      <c r="K36" s="73" t="s">
        <v>104</v>
      </c>
      <c r="L36" s="74">
        <v>75.99</v>
      </c>
      <c r="M36" s="72">
        <v>0.01</v>
      </c>
      <c r="N36" s="75" t="s">
        <v>34</v>
      </c>
      <c r="O36" s="75" t="s">
        <v>34</v>
      </c>
      <c r="P36" s="72">
        <v>3.59</v>
      </c>
      <c r="Q36" s="72">
        <v>16.65</v>
      </c>
      <c r="R36" s="75" t="s">
        <v>34</v>
      </c>
      <c r="S36" s="75" t="s">
        <v>34</v>
      </c>
      <c r="T36" s="72">
        <v>2.08</v>
      </c>
      <c r="U36" s="75" t="s">
        <v>34</v>
      </c>
      <c r="V36" s="75" t="s">
        <v>34</v>
      </c>
      <c r="W36" s="75" t="s">
        <v>34</v>
      </c>
      <c r="X36" s="75" t="s">
        <v>34</v>
      </c>
      <c r="Y36" s="75" t="s">
        <v>34</v>
      </c>
      <c r="Z36" s="72">
        <v>1.68</v>
      </c>
      <c r="AA36" s="4">
        <v>83.3</v>
      </c>
      <c r="AC36" s="72">
        <v>34.0</v>
      </c>
      <c r="AD36" s="73" t="s">
        <v>104</v>
      </c>
      <c r="AE36" s="74">
        <v>4.0</v>
      </c>
      <c r="AF36" s="72">
        <v>0.0</v>
      </c>
      <c r="AG36" s="75" t="s">
        <v>34</v>
      </c>
      <c r="AH36" s="75" t="s">
        <v>34</v>
      </c>
      <c r="AI36" s="72">
        <v>0.0</v>
      </c>
      <c r="AJ36" s="72">
        <v>0.0</v>
      </c>
      <c r="AK36" s="75" t="s">
        <v>34</v>
      </c>
      <c r="AL36" s="75" t="s">
        <v>34</v>
      </c>
      <c r="AM36" s="72">
        <v>0.0</v>
      </c>
      <c r="AN36" s="75" t="s">
        <v>34</v>
      </c>
      <c r="AO36" s="75" t="s">
        <v>34</v>
      </c>
      <c r="AP36" s="75" t="s">
        <v>34</v>
      </c>
      <c r="AQ36" s="75" t="s">
        <v>34</v>
      </c>
      <c r="AR36" s="75" t="s">
        <v>34</v>
      </c>
      <c r="AS36" s="72">
        <v>0.0</v>
      </c>
      <c r="AT36" s="4">
        <v>4.0</v>
      </c>
      <c r="AX36" s="53"/>
      <c r="AY36" s="76">
        <v>75.99</v>
      </c>
      <c r="AZ36" s="77">
        <v>0.01</v>
      </c>
      <c r="BA36" s="78">
        <f t="shared" si="2"/>
        <v>22.32</v>
      </c>
      <c r="BH36" s="57"/>
      <c r="BI36" s="81">
        <v>0.0</v>
      </c>
      <c r="BJ36" s="80">
        <v>0.0</v>
      </c>
      <c r="BK36" s="81">
        <v>0.0</v>
      </c>
      <c r="BL36" s="80">
        <v>0.0</v>
      </c>
      <c r="BM36" s="82">
        <v>1.68</v>
      </c>
      <c r="BS36" s="75">
        <v>0.0</v>
      </c>
      <c r="BT36" s="75">
        <v>0.0</v>
      </c>
      <c r="BU36" s="72">
        <v>3.59</v>
      </c>
      <c r="BV36" s="72">
        <v>16.65</v>
      </c>
      <c r="BW36" s="72">
        <v>2.08</v>
      </c>
      <c r="BX36" s="75">
        <v>0.0</v>
      </c>
      <c r="BY36" s="75">
        <v>0.0</v>
      </c>
      <c r="BZ36" s="75">
        <v>0.0</v>
      </c>
      <c r="CA36" s="83">
        <f t="shared" si="1"/>
        <v>22.32</v>
      </c>
      <c r="CJ36" s="84">
        <v>34.0</v>
      </c>
      <c r="CK36" s="64"/>
      <c r="CL36" s="85">
        <v>3.0</v>
      </c>
      <c r="CM36" s="86">
        <v>0.0</v>
      </c>
      <c r="CN36" s="85">
        <v>1.0</v>
      </c>
      <c r="CO36" s="86">
        <v>0.0</v>
      </c>
      <c r="CP36" s="85">
        <v>0.0</v>
      </c>
      <c r="CQ36" s="86">
        <v>0.0</v>
      </c>
      <c r="CR36" s="85">
        <v>0.0</v>
      </c>
      <c r="CS36" s="87">
        <v>0.0</v>
      </c>
      <c r="CT36" s="41"/>
      <c r="CU36" s="41"/>
      <c r="CV36" s="53"/>
      <c r="CW36" s="88">
        <v>3.0</v>
      </c>
      <c r="CX36" s="85">
        <v>1.0</v>
      </c>
      <c r="CY36" s="86">
        <v>0.0</v>
      </c>
      <c r="CZ36" s="85">
        <v>0.0</v>
      </c>
      <c r="DA36" s="41"/>
      <c r="DB36" s="41"/>
      <c r="DC36" s="53"/>
      <c r="DD36" s="88">
        <v>3.0</v>
      </c>
      <c r="DE36" s="85">
        <v>1.0</v>
      </c>
      <c r="DF36" s="87">
        <v>0.0</v>
      </c>
    </row>
    <row r="37" ht="12.0" customHeight="1">
      <c r="E37" s="70">
        <v>35.0</v>
      </c>
      <c r="F37" s="71" t="s">
        <v>102</v>
      </c>
      <c r="G37" s="70" t="s">
        <v>105</v>
      </c>
      <c r="H37" s="70">
        <v>4.0</v>
      </c>
      <c r="J37" s="72">
        <v>35.0</v>
      </c>
      <c r="K37" s="73" t="s">
        <v>106</v>
      </c>
      <c r="L37" s="74">
        <v>50.9</v>
      </c>
      <c r="M37" s="72">
        <v>10.96</v>
      </c>
      <c r="N37" s="72">
        <v>6.54</v>
      </c>
      <c r="O37" s="75" t="s">
        <v>34</v>
      </c>
      <c r="P37" s="72">
        <v>0.41</v>
      </c>
      <c r="Q37" s="72">
        <v>30.79</v>
      </c>
      <c r="R37" s="75" t="s">
        <v>34</v>
      </c>
      <c r="S37" s="75" t="s">
        <v>34</v>
      </c>
      <c r="T37" s="75" t="s">
        <v>34</v>
      </c>
      <c r="U37" s="75" t="s">
        <v>34</v>
      </c>
      <c r="V37" s="75" t="s">
        <v>34</v>
      </c>
      <c r="W37" s="75" t="s">
        <v>34</v>
      </c>
      <c r="X37" s="75" t="s">
        <v>34</v>
      </c>
      <c r="Y37" s="75" t="s">
        <v>34</v>
      </c>
      <c r="Z37" s="72">
        <v>0.4</v>
      </c>
      <c r="AA37" s="4">
        <v>87.52</v>
      </c>
      <c r="AC37" s="72">
        <v>35.0</v>
      </c>
      <c r="AD37" s="73" t="s">
        <v>106</v>
      </c>
      <c r="AE37" s="74">
        <v>3.0</v>
      </c>
      <c r="AF37" s="72">
        <v>0.0</v>
      </c>
      <c r="AG37" s="72">
        <v>0.0</v>
      </c>
      <c r="AH37" s="75" t="s">
        <v>34</v>
      </c>
      <c r="AI37" s="72">
        <v>0.0</v>
      </c>
      <c r="AJ37" s="72">
        <v>1.0</v>
      </c>
      <c r="AK37" s="75" t="s">
        <v>34</v>
      </c>
      <c r="AL37" s="75" t="s">
        <v>34</v>
      </c>
      <c r="AM37" s="75" t="s">
        <v>34</v>
      </c>
      <c r="AN37" s="75" t="s">
        <v>34</v>
      </c>
      <c r="AO37" s="75" t="s">
        <v>34</v>
      </c>
      <c r="AP37" s="75" t="s">
        <v>34</v>
      </c>
      <c r="AQ37" s="75" t="s">
        <v>34</v>
      </c>
      <c r="AR37" s="75" t="s">
        <v>34</v>
      </c>
      <c r="AS37" s="72">
        <v>0.0</v>
      </c>
      <c r="AT37" s="4">
        <v>4.0</v>
      </c>
      <c r="AX37" s="53"/>
      <c r="AY37" s="76">
        <v>50.9</v>
      </c>
      <c r="AZ37" s="77">
        <v>10.96</v>
      </c>
      <c r="BA37" s="78">
        <f t="shared" si="2"/>
        <v>37.74</v>
      </c>
      <c r="BH37" s="57"/>
      <c r="BI37" s="81">
        <v>0.0</v>
      </c>
      <c r="BJ37" s="80">
        <v>0.0</v>
      </c>
      <c r="BK37" s="81">
        <v>0.0</v>
      </c>
      <c r="BL37" s="80">
        <v>0.0</v>
      </c>
      <c r="BM37" s="82">
        <v>0.4</v>
      </c>
      <c r="BS37" s="72">
        <v>6.54</v>
      </c>
      <c r="BT37" s="75">
        <v>0.0</v>
      </c>
      <c r="BU37" s="72">
        <v>0.41</v>
      </c>
      <c r="BV37" s="72">
        <v>30.79</v>
      </c>
      <c r="BW37" s="75">
        <v>0.0</v>
      </c>
      <c r="BX37" s="75">
        <v>0.0</v>
      </c>
      <c r="BY37" s="75">
        <v>0.0</v>
      </c>
      <c r="BZ37" s="75">
        <v>0.0</v>
      </c>
      <c r="CA37" s="83">
        <f t="shared" si="1"/>
        <v>37.74</v>
      </c>
      <c r="CJ37" s="84">
        <v>35.0</v>
      </c>
      <c r="CK37" s="64"/>
      <c r="CL37" s="85">
        <v>2.0</v>
      </c>
      <c r="CM37" s="86">
        <v>0.0</v>
      </c>
      <c r="CN37" s="85">
        <v>2.0</v>
      </c>
      <c r="CO37" s="86">
        <v>0.0</v>
      </c>
      <c r="CP37" s="85">
        <v>0.0</v>
      </c>
      <c r="CQ37" s="86">
        <v>0.0</v>
      </c>
      <c r="CR37" s="85">
        <v>0.0</v>
      </c>
      <c r="CS37" s="87">
        <v>0.0</v>
      </c>
      <c r="CT37" s="41"/>
      <c r="CU37" s="41"/>
      <c r="CV37" s="53"/>
      <c r="CW37" s="88">
        <v>2.0</v>
      </c>
      <c r="CX37" s="85">
        <v>2.0</v>
      </c>
      <c r="CY37" s="86">
        <v>0.0</v>
      </c>
      <c r="CZ37" s="85">
        <v>0.0</v>
      </c>
      <c r="DA37" s="41"/>
      <c r="DB37" s="41"/>
      <c r="DC37" s="53"/>
      <c r="DD37" s="88">
        <v>2.0</v>
      </c>
      <c r="DE37" s="85">
        <v>2.0</v>
      </c>
      <c r="DF37" s="87">
        <v>0.0</v>
      </c>
    </row>
    <row r="38" ht="12.0" customHeight="1">
      <c r="E38" s="70">
        <v>36.0</v>
      </c>
      <c r="F38" s="71" t="s">
        <v>107</v>
      </c>
      <c r="G38" s="70" t="s">
        <v>108</v>
      </c>
      <c r="H38" s="70">
        <v>5.0</v>
      </c>
      <c r="J38" s="72">
        <v>36.0</v>
      </c>
      <c r="K38" s="73" t="s">
        <v>107</v>
      </c>
      <c r="L38" s="74">
        <v>46.97</v>
      </c>
      <c r="M38" s="72">
        <v>22.37</v>
      </c>
      <c r="N38" s="72">
        <v>2.24</v>
      </c>
      <c r="O38" s="75" t="s">
        <v>34</v>
      </c>
      <c r="P38" s="72">
        <v>0.12</v>
      </c>
      <c r="Q38" s="72">
        <v>28.14</v>
      </c>
      <c r="R38" s="75" t="s">
        <v>34</v>
      </c>
      <c r="S38" s="72">
        <v>0.02</v>
      </c>
      <c r="T38" s="75" t="s">
        <v>34</v>
      </c>
      <c r="U38" s="75" t="s">
        <v>34</v>
      </c>
      <c r="V38" s="75" t="s">
        <v>34</v>
      </c>
      <c r="W38" s="75" t="s">
        <v>34</v>
      </c>
      <c r="X38" s="75" t="s">
        <v>34</v>
      </c>
      <c r="Y38" s="75" t="s">
        <v>34</v>
      </c>
      <c r="Z38" s="72">
        <v>0.14</v>
      </c>
      <c r="AA38" s="4">
        <v>90.08</v>
      </c>
      <c r="AC38" s="72">
        <v>36.0</v>
      </c>
      <c r="AD38" s="73" t="s">
        <v>107</v>
      </c>
      <c r="AE38" s="74">
        <v>3.0</v>
      </c>
      <c r="AF38" s="72">
        <v>1.0</v>
      </c>
      <c r="AG38" s="72">
        <v>0.0</v>
      </c>
      <c r="AH38" s="75" t="s">
        <v>34</v>
      </c>
      <c r="AI38" s="72">
        <v>0.0</v>
      </c>
      <c r="AJ38" s="72">
        <v>1.0</v>
      </c>
      <c r="AK38" s="75" t="s">
        <v>34</v>
      </c>
      <c r="AL38" s="72">
        <v>0.0</v>
      </c>
      <c r="AM38" s="75" t="s">
        <v>34</v>
      </c>
      <c r="AN38" s="75" t="s">
        <v>34</v>
      </c>
      <c r="AO38" s="75" t="s">
        <v>34</v>
      </c>
      <c r="AP38" s="75" t="s">
        <v>34</v>
      </c>
      <c r="AQ38" s="75" t="s">
        <v>34</v>
      </c>
      <c r="AR38" s="75" t="s">
        <v>34</v>
      </c>
      <c r="AS38" s="72">
        <v>0.0</v>
      </c>
      <c r="AT38" s="4">
        <v>5.0</v>
      </c>
      <c r="AX38" s="53"/>
      <c r="AY38" s="76">
        <v>46.97</v>
      </c>
      <c r="AZ38" s="77">
        <v>22.37</v>
      </c>
      <c r="BA38" s="78">
        <f t="shared" si="2"/>
        <v>30.5</v>
      </c>
      <c r="BH38" s="57"/>
      <c r="BI38" s="81">
        <v>0.0</v>
      </c>
      <c r="BJ38" s="77">
        <v>0.02</v>
      </c>
      <c r="BK38" s="81">
        <v>0.0</v>
      </c>
      <c r="BL38" s="80">
        <v>0.0</v>
      </c>
      <c r="BM38" s="82">
        <v>0.14</v>
      </c>
      <c r="BS38" s="72">
        <v>2.24</v>
      </c>
      <c r="BT38" s="75">
        <v>0.0</v>
      </c>
      <c r="BU38" s="72">
        <v>0.12</v>
      </c>
      <c r="BV38" s="72">
        <v>28.14</v>
      </c>
      <c r="BW38" s="75">
        <v>0.0</v>
      </c>
      <c r="BX38" s="75">
        <v>0.0</v>
      </c>
      <c r="BY38" s="75">
        <v>0.0</v>
      </c>
      <c r="BZ38" s="75">
        <v>0.0</v>
      </c>
      <c r="CA38" s="83">
        <f t="shared" si="1"/>
        <v>30.5</v>
      </c>
      <c r="CJ38" s="84">
        <v>36.0</v>
      </c>
      <c r="CK38" s="64"/>
      <c r="CL38" s="85">
        <v>3.0</v>
      </c>
      <c r="CM38" s="86">
        <v>1.0</v>
      </c>
      <c r="CN38" s="85">
        <v>1.0</v>
      </c>
      <c r="CO38" s="86">
        <v>0.0</v>
      </c>
      <c r="CP38" s="85">
        <v>0.0</v>
      </c>
      <c r="CQ38" s="86">
        <v>0.0</v>
      </c>
      <c r="CR38" s="85">
        <v>0.0</v>
      </c>
      <c r="CS38" s="87">
        <v>0.0</v>
      </c>
      <c r="CT38" s="41"/>
      <c r="CU38" s="41"/>
      <c r="CV38" s="53"/>
      <c r="CW38" s="88">
        <v>3.0</v>
      </c>
      <c r="CX38" s="85">
        <v>1.0</v>
      </c>
      <c r="CY38" s="86">
        <v>1.0</v>
      </c>
      <c r="CZ38" s="85">
        <v>0.0</v>
      </c>
      <c r="DA38" s="41"/>
      <c r="DB38" s="41"/>
      <c r="DC38" s="53"/>
      <c r="DD38" s="88">
        <v>3.0</v>
      </c>
      <c r="DE38" s="85">
        <v>1.0</v>
      </c>
      <c r="DF38" s="87">
        <v>1.0</v>
      </c>
    </row>
    <row r="39" ht="12.0" customHeight="1">
      <c r="E39" s="70">
        <v>37.0</v>
      </c>
      <c r="F39" s="71" t="s">
        <v>39</v>
      </c>
      <c r="G39" s="70" t="s">
        <v>109</v>
      </c>
      <c r="H39" s="70">
        <v>6.0</v>
      </c>
      <c r="J39" s="72">
        <v>37.0</v>
      </c>
      <c r="K39" s="73" t="s">
        <v>39</v>
      </c>
      <c r="L39" s="74">
        <v>37.71</v>
      </c>
      <c r="M39" s="72">
        <v>10.7</v>
      </c>
      <c r="N39" s="72">
        <v>19.45</v>
      </c>
      <c r="O39" s="75" t="s">
        <v>34</v>
      </c>
      <c r="P39" s="72">
        <v>0.41</v>
      </c>
      <c r="Q39" s="72">
        <v>31.09</v>
      </c>
      <c r="R39" s="75" t="s">
        <v>34</v>
      </c>
      <c r="S39" s="75" t="s">
        <v>34</v>
      </c>
      <c r="T39" s="75" t="s">
        <v>34</v>
      </c>
      <c r="U39" s="75" t="s">
        <v>34</v>
      </c>
      <c r="V39" s="75" t="s">
        <v>34</v>
      </c>
      <c r="W39" s="75" t="s">
        <v>34</v>
      </c>
      <c r="X39" s="75" t="s">
        <v>34</v>
      </c>
      <c r="Y39" s="75" t="s">
        <v>34</v>
      </c>
      <c r="Z39" s="72">
        <v>0.64</v>
      </c>
      <c r="AA39" s="4">
        <v>88.89</v>
      </c>
      <c r="AC39" s="72">
        <v>37.0</v>
      </c>
      <c r="AD39" s="73" t="s">
        <v>39</v>
      </c>
      <c r="AE39" s="74">
        <v>3.0</v>
      </c>
      <c r="AF39" s="72">
        <v>0.0</v>
      </c>
      <c r="AG39" s="72">
        <v>1.0</v>
      </c>
      <c r="AH39" s="75" t="s">
        <v>34</v>
      </c>
      <c r="AI39" s="72">
        <v>0.0</v>
      </c>
      <c r="AJ39" s="72">
        <v>2.0</v>
      </c>
      <c r="AK39" s="75" t="s">
        <v>34</v>
      </c>
      <c r="AL39" s="75" t="s">
        <v>34</v>
      </c>
      <c r="AM39" s="75" t="s">
        <v>34</v>
      </c>
      <c r="AN39" s="75" t="s">
        <v>34</v>
      </c>
      <c r="AO39" s="75" t="s">
        <v>34</v>
      </c>
      <c r="AP39" s="75" t="s">
        <v>34</v>
      </c>
      <c r="AQ39" s="75" t="s">
        <v>34</v>
      </c>
      <c r="AR39" s="75" t="s">
        <v>34</v>
      </c>
      <c r="AS39" s="72">
        <v>0.0</v>
      </c>
      <c r="AT39" s="4">
        <v>6.0</v>
      </c>
      <c r="AX39" s="53"/>
      <c r="AY39" s="76">
        <v>37.71</v>
      </c>
      <c r="AZ39" s="77">
        <v>10.7</v>
      </c>
      <c r="BA39" s="78">
        <f t="shared" si="2"/>
        <v>50.95</v>
      </c>
      <c r="BH39" s="57"/>
      <c r="BI39" s="81">
        <v>0.0</v>
      </c>
      <c r="BJ39" s="80">
        <v>0.0</v>
      </c>
      <c r="BK39" s="81">
        <v>0.0</v>
      </c>
      <c r="BL39" s="80">
        <v>0.0</v>
      </c>
      <c r="BM39" s="82">
        <v>0.64</v>
      </c>
      <c r="BS39" s="72">
        <v>19.45</v>
      </c>
      <c r="BT39" s="75">
        <v>0.0</v>
      </c>
      <c r="BU39" s="72">
        <v>0.41</v>
      </c>
      <c r="BV39" s="72">
        <v>31.09</v>
      </c>
      <c r="BW39" s="75">
        <v>0.0</v>
      </c>
      <c r="BX39" s="75">
        <v>0.0</v>
      </c>
      <c r="BY39" s="75">
        <v>0.0</v>
      </c>
      <c r="BZ39" s="75">
        <v>0.0</v>
      </c>
      <c r="CA39" s="83">
        <f t="shared" si="1"/>
        <v>50.95</v>
      </c>
      <c r="CJ39" s="84">
        <v>37.0</v>
      </c>
      <c r="CK39" s="64"/>
      <c r="CL39" s="85">
        <v>2.0</v>
      </c>
      <c r="CM39" s="86">
        <v>0.0</v>
      </c>
      <c r="CN39" s="85">
        <v>4.0</v>
      </c>
      <c r="CO39" s="86">
        <v>0.0</v>
      </c>
      <c r="CP39" s="85">
        <v>0.0</v>
      </c>
      <c r="CQ39" s="86">
        <v>0.0</v>
      </c>
      <c r="CR39" s="85">
        <v>0.0</v>
      </c>
      <c r="CS39" s="87">
        <v>0.0</v>
      </c>
      <c r="CT39" s="41"/>
      <c r="CU39" s="41"/>
      <c r="CV39" s="53"/>
      <c r="CW39" s="88">
        <v>2.0</v>
      </c>
      <c r="CX39" s="85">
        <v>4.0</v>
      </c>
      <c r="CY39" s="86">
        <v>0.0</v>
      </c>
      <c r="CZ39" s="85">
        <v>0.0</v>
      </c>
      <c r="DA39" s="41"/>
      <c r="DB39" s="41"/>
      <c r="DC39" s="53"/>
      <c r="DD39" s="88">
        <v>2.0</v>
      </c>
      <c r="DE39" s="85">
        <v>4.0</v>
      </c>
      <c r="DF39" s="87">
        <v>0.0</v>
      </c>
    </row>
    <row r="40" ht="12.0" customHeight="1">
      <c r="E40" s="70">
        <v>38.0</v>
      </c>
      <c r="F40" s="71" t="s">
        <v>110</v>
      </c>
      <c r="G40" s="70" t="s">
        <v>111</v>
      </c>
      <c r="H40" s="70">
        <v>5.0</v>
      </c>
      <c r="J40" s="72">
        <v>38.0</v>
      </c>
      <c r="K40" s="73" t="s">
        <v>110</v>
      </c>
      <c r="L40" s="74">
        <v>40.96</v>
      </c>
      <c r="M40" s="72">
        <v>36.53</v>
      </c>
      <c r="N40" s="72">
        <v>0.34</v>
      </c>
      <c r="O40" s="75" t="s">
        <v>34</v>
      </c>
      <c r="P40" s="72">
        <v>10.4</v>
      </c>
      <c r="Q40" s="72">
        <v>9.07</v>
      </c>
      <c r="R40" s="75" t="s">
        <v>34</v>
      </c>
      <c r="S40" s="75" t="s">
        <v>34</v>
      </c>
      <c r="T40" s="75" t="s">
        <v>34</v>
      </c>
      <c r="U40" s="75" t="s">
        <v>34</v>
      </c>
      <c r="V40" s="75" t="s">
        <v>34</v>
      </c>
      <c r="W40" s="75" t="s">
        <v>34</v>
      </c>
      <c r="X40" s="75" t="s">
        <v>34</v>
      </c>
      <c r="Y40" s="75" t="s">
        <v>34</v>
      </c>
      <c r="Z40" s="72">
        <v>2.7</v>
      </c>
      <c r="AA40" s="4">
        <v>67.08</v>
      </c>
      <c r="AC40" s="72">
        <v>38.0</v>
      </c>
      <c r="AD40" s="73" t="s">
        <v>110</v>
      </c>
      <c r="AE40" s="74">
        <v>3.0</v>
      </c>
      <c r="AF40" s="72">
        <v>2.0</v>
      </c>
      <c r="AG40" s="72">
        <v>0.0</v>
      </c>
      <c r="AH40" s="75" t="s">
        <v>34</v>
      </c>
      <c r="AI40" s="72">
        <v>0.0</v>
      </c>
      <c r="AJ40" s="72">
        <v>0.0</v>
      </c>
      <c r="AK40" s="75" t="s">
        <v>34</v>
      </c>
      <c r="AL40" s="75" t="s">
        <v>34</v>
      </c>
      <c r="AM40" s="75" t="s">
        <v>34</v>
      </c>
      <c r="AN40" s="75" t="s">
        <v>34</v>
      </c>
      <c r="AO40" s="75" t="s">
        <v>34</v>
      </c>
      <c r="AP40" s="75" t="s">
        <v>34</v>
      </c>
      <c r="AQ40" s="75" t="s">
        <v>34</v>
      </c>
      <c r="AR40" s="75" t="s">
        <v>34</v>
      </c>
      <c r="AS40" s="72">
        <v>0.0</v>
      </c>
      <c r="AT40" s="4">
        <v>5.0</v>
      </c>
      <c r="AX40" s="53"/>
      <c r="AY40" s="76">
        <v>40.96</v>
      </c>
      <c r="AZ40" s="77">
        <v>36.53</v>
      </c>
      <c r="BA40" s="78">
        <f t="shared" si="2"/>
        <v>19.81</v>
      </c>
      <c r="BH40" s="57"/>
      <c r="BI40" s="81">
        <v>0.0</v>
      </c>
      <c r="BJ40" s="80">
        <v>0.0</v>
      </c>
      <c r="BK40" s="81">
        <v>0.0</v>
      </c>
      <c r="BL40" s="80">
        <v>0.0</v>
      </c>
      <c r="BM40" s="82">
        <v>2.7</v>
      </c>
      <c r="BS40" s="72">
        <v>0.34</v>
      </c>
      <c r="BT40" s="75">
        <v>0.0</v>
      </c>
      <c r="BU40" s="72">
        <v>10.4</v>
      </c>
      <c r="BV40" s="72">
        <v>9.07</v>
      </c>
      <c r="BW40" s="75">
        <v>0.0</v>
      </c>
      <c r="BX40" s="75">
        <v>0.0</v>
      </c>
      <c r="BY40" s="75">
        <v>0.0</v>
      </c>
      <c r="BZ40" s="75">
        <v>0.0</v>
      </c>
      <c r="CA40" s="83">
        <f t="shared" si="1"/>
        <v>19.81</v>
      </c>
      <c r="CJ40" s="84">
        <v>38.0</v>
      </c>
      <c r="CK40" s="64"/>
      <c r="CL40" s="85">
        <v>2.0</v>
      </c>
      <c r="CM40" s="86">
        <v>2.0</v>
      </c>
      <c r="CN40" s="85">
        <v>1.0</v>
      </c>
      <c r="CO40" s="86">
        <v>0.0</v>
      </c>
      <c r="CP40" s="85">
        <v>0.0</v>
      </c>
      <c r="CQ40" s="86">
        <v>0.0</v>
      </c>
      <c r="CR40" s="85">
        <v>0.0</v>
      </c>
      <c r="CS40" s="87">
        <v>0.0</v>
      </c>
      <c r="CT40" s="41"/>
      <c r="CU40" s="41"/>
      <c r="CV40" s="53"/>
      <c r="CW40" s="88">
        <v>2.0</v>
      </c>
      <c r="CX40" s="85">
        <v>1.0</v>
      </c>
      <c r="CY40" s="86">
        <v>2.0</v>
      </c>
      <c r="CZ40" s="85">
        <v>0.0</v>
      </c>
      <c r="DA40" s="41"/>
      <c r="DB40" s="41"/>
      <c r="DC40" s="53"/>
      <c r="DD40" s="88">
        <v>2.0</v>
      </c>
      <c r="DE40" s="85">
        <v>1.0</v>
      </c>
      <c r="DF40" s="87">
        <v>2.0</v>
      </c>
    </row>
    <row r="41" ht="12.0" customHeight="1">
      <c r="E41" s="70">
        <v>39.0</v>
      </c>
      <c r="F41" s="71" t="s">
        <v>112</v>
      </c>
      <c r="G41" s="70" t="s">
        <v>113</v>
      </c>
      <c r="H41" s="70">
        <v>5.0</v>
      </c>
      <c r="J41" s="72">
        <v>39.0</v>
      </c>
      <c r="K41" s="73" t="s">
        <v>112</v>
      </c>
      <c r="L41" s="72">
        <v>29.98</v>
      </c>
      <c r="M41" s="89">
        <v>32.7</v>
      </c>
      <c r="N41" s="72">
        <v>0.59</v>
      </c>
      <c r="O41" s="75" t="s">
        <v>34</v>
      </c>
      <c r="P41" s="72">
        <v>18.9</v>
      </c>
      <c r="Q41" s="72">
        <v>15.63</v>
      </c>
      <c r="R41" s="75" t="s">
        <v>34</v>
      </c>
      <c r="S41" s="75" t="s">
        <v>34</v>
      </c>
      <c r="T41" s="75" t="s">
        <v>34</v>
      </c>
      <c r="U41" s="75" t="s">
        <v>34</v>
      </c>
      <c r="V41" s="75" t="s">
        <v>34</v>
      </c>
      <c r="W41" s="75" t="s">
        <v>34</v>
      </c>
      <c r="X41" s="75" t="s">
        <v>34</v>
      </c>
      <c r="Y41" s="75" t="s">
        <v>34</v>
      </c>
      <c r="Z41" s="72">
        <v>2.2</v>
      </c>
      <c r="AA41" s="4">
        <v>69.13</v>
      </c>
      <c r="AC41" s="72">
        <v>39.0</v>
      </c>
      <c r="AD41" s="73" t="s">
        <v>112</v>
      </c>
      <c r="AE41" s="72">
        <v>1.0</v>
      </c>
      <c r="AF41" s="89">
        <v>2.0</v>
      </c>
      <c r="AG41" s="72">
        <v>0.0</v>
      </c>
      <c r="AH41" s="75" t="s">
        <v>34</v>
      </c>
      <c r="AI41" s="72">
        <v>1.0</v>
      </c>
      <c r="AJ41" s="72">
        <v>1.0</v>
      </c>
      <c r="AK41" s="75" t="s">
        <v>34</v>
      </c>
      <c r="AL41" s="75" t="s">
        <v>34</v>
      </c>
      <c r="AM41" s="75" t="s">
        <v>34</v>
      </c>
      <c r="AN41" s="75" t="s">
        <v>34</v>
      </c>
      <c r="AO41" s="75" t="s">
        <v>34</v>
      </c>
      <c r="AP41" s="75" t="s">
        <v>34</v>
      </c>
      <c r="AQ41" s="75" t="s">
        <v>34</v>
      </c>
      <c r="AR41" s="75" t="s">
        <v>34</v>
      </c>
      <c r="AS41" s="72">
        <v>0.0</v>
      </c>
      <c r="AT41" s="4">
        <v>5.0</v>
      </c>
      <c r="AX41" s="53"/>
      <c r="AY41" s="90">
        <v>29.98</v>
      </c>
      <c r="AZ41" s="91">
        <v>32.7</v>
      </c>
      <c r="BA41" s="78">
        <f t="shared" si="2"/>
        <v>35.12</v>
      </c>
      <c r="BH41" s="57"/>
      <c r="BI41" s="81">
        <v>0.0</v>
      </c>
      <c r="BJ41" s="80">
        <v>0.0</v>
      </c>
      <c r="BK41" s="81">
        <v>0.0</v>
      </c>
      <c r="BL41" s="80">
        <v>0.0</v>
      </c>
      <c r="BM41" s="82">
        <v>2.2</v>
      </c>
      <c r="BS41" s="72">
        <v>0.59</v>
      </c>
      <c r="BT41" s="75">
        <v>0.0</v>
      </c>
      <c r="BU41" s="72">
        <v>18.9</v>
      </c>
      <c r="BV41" s="72">
        <v>15.63</v>
      </c>
      <c r="BW41" s="75">
        <v>0.0</v>
      </c>
      <c r="BX41" s="75">
        <v>0.0</v>
      </c>
      <c r="BY41" s="75">
        <v>0.0</v>
      </c>
      <c r="BZ41" s="75">
        <v>0.0</v>
      </c>
      <c r="CA41" s="83">
        <f t="shared" si="1"/>
        <v>35.12</v>
      </c>
      <c r="CJ41" s="84">
        <v>39.0</v>
      </c>
      <c r="CK41" s="64"/>
      <c r="CL41" s="85">
        <v>1.0</v>
      </c>
      <c r="CM41" s="86">
        <v>2.0</v>
      </c>
      <c r="CN41" s="85">
        <v>2.0</v>
      </c>
      <c r="CO41" s="86">
        <v>0.0</v>
      </c>
      <c r="CP41" s="85">
        <v>0.0</v>
      </c>
      <c r="CQ41" s="86">
        <v>0.0</v>
      </c>
      <c r="CR41" s="85">
        <v>0.0</v>
      </c>
      <c r="CS41" s="87">
        <v>0.0</v>
      </c>
      <c r="CT41" s="41"/>
      <c r="CU41" s="41"/>
      <c r="CV41" s="53"/>
      <c r="CW41" s="88">
        <v>1.0</v>
      </c>
      <c r="CX41" s="85">
        <v>2.0</v>
      </c>
      <c r="CY41" s="86">
        <v>2.0</v>
      </c>
      <c r="CZ41" s="85">
        <v>0.0</v>
      </c>
      <c r="DA41" s="41"/>
      <c r="DB41" s="41"/>
      <c r="DC41" s="53"/>
      <c r="DD41" s="88">
        <v>1.0</v>
      </c>
      <c r="DE41" s="85">
        <v>2.0</v>
      </c>
      <c r="DF41" s="87">
        <v>2.0</v>
      </c>
    </row>
    <row r="42" ht="12.0" customHeight="1">
      <c r="E42" s="70">
        <v>40.0</v>
      </c>
      <c r="F42" s="71" t="s">
        <v>114</v>
      </c>
      <c r="G42" s="70" t="s">
        <v>115</v>
      </c>
      <c r="H42" s="70">
        <v>7.0</v>
      </c>
      <c r="J42" s="72">
        <v>40.0</v>
      </c>
      <c r="K42" s="73" t="s">
        <v>114</v>
      </c>
      <c r="L42" s="74">
        <v>38.57</v>
      </c>
      <c r="M42" s="72">
        <v>18.17</v>
      </c>
      <c r="N42" s="72">
        <v>7.16</v>
      </c>
      <c r="O42" s="75" t="s">
        <v>34</v>
      </c>
      <c r="P42" s="72">
        <v>18.3</v>
      </c>
      <c r="Q42" s="72">
        <v>17.45</v>
      </c>
      <c r="R42" s="75" t="s">
        <v>34</v>
      </c>
      <c r="S42" s="75" t="s">
        <v>34</v>
      </c>
      <c r="T42" s="72">
        <v>0.34</v>
      </c>
      <c r="U42" s="75" t="s">
        <v>34</v>
      </c>
      <c r="V42" s="75" t="s">
        <v>34</v>
      </c>
      <c r="W42" s="75" t="s">
        <v>34</v>
      </c>
      <c r="X42" s="75" t="s">
        <v>34</v>
      </c>
      <c r="Y42" s="75" t="s">
        <v>34</v>
      </c>
      <c r="Z42" s="72">
        <v>0.01</v>
      </c>
      <c r="AA42" s="4">
        <v>61.93</v>
      </c>
      <c r="AC42" s="72">
        <v>40.0</v>
      </c>
      <c r="AD42" s="73" t="s">
        <v>114</v>
      </c>
      <c r="AE42" s="74">
        <v>4.0</v>
      </c>
      <c r="AF42" s="72">
        <v>1.0</v>
      </c>
      <c r="AG42" s="72">
        <v>0.0</v>
      </c>
      <c r="AH42" s="75" t="s">
        <v>34</v>
      </c>
      <c r="AI42" s="72">
        <v>1.0</v>
      </c>
      <c r="AJ42" s="72">
        <v>1.0</v>
      </c>
      <c r="AK42" s="75" t="s">
        <v>34</v>
      </c>
      <c r="AL42" s="75" t="s">
        <v>34</v>
      </c>
      <c r="AM42" s="72">
        <v>0.0</v>
      </c>
      <c r="AN42" s="75" t="s">
        <v>34</v>
      </c>
      <c r="AO42" s="75" t="s">
        <v>34</v>
      </c>
      <c r="AP42" s="75" t="s">
        <v>34</v>
      </c>
      <c r="AQ42" s="75" t="s">
        <v>34</v>
      </c>
      <c r="AR42" s="75" t="s">
        <v>34</v>
      </c>
      <c r="AS42" s="72">
        <v>0.0</v>
      </c>
      <c r="AT42" s="4">
        <v>7.0</v>
      </c>
      <c r="AX42" s="53"/>
      <c r="AY42" s="76">
        <v>38.57</v>
      </c>
      <c r="AZ42" s="77">
        <v>18.17</v>
      </c>
      <c r="BA42" s="78">
        <f t="shared" si="2"/>
        <v>43.25</v>
      </c>
      <c r="BH42" s="57"/>
      <c r="BI42" s="81">
        <v>0.0</v>
      </c>
      <c r="BJ42" s="80">
        <v>0.0</v>
      </c>
      <c r="BK42" s="81">
        <v>0.0</v>
      </c>
      <c r="BL42" s="80">
        <v>0.0</v>
      </c>
      <c r="BM42" s="82">
        <v>0.01</v>
      </c>
      <c r="BS42" s="72">
        <v>7.16</v>
      </c>
      <c r="BT42" s="75">
        <v>0.0</v>
      </c>
      <c r="BU42" s="72">
        <v>18.3</v>
      </c>
      <c r="BV42" s="72">
        <v>17.45</v>
      </c>
      <c r="BW42" s="72">
        <v>0.34</v>
      </c>
      <c r="BX42" s="75">
        <v>0.0</v>
      </c>
      <c r="BY42" s="75">
        <v>0.0</v>
      </c>
      <c r="BZ42" s="75">
        <v>0.0</v>
      </c>
      <c r="CA42" s="83">
        <f t="shared" si="1"/>
        <v>43.25</v>
      </c>
      <c r="CJ42" s="84">
        <v>40.0</v>
      </c>
      <c r="CK42" s="64"/>
      <c r="CL42" s="85">
        <v>3.0</v>
      </c>
      <c r="CM42" s="86">
        <v>1.0</v>
      </c>
      <c r="CN42" s="85">
        <v>3.0</v>
      </c>
      <c r="CO42" s="86">
        <v>0.0</v>
      </c>
      <c r="CP42" s="85">
        <v>0.0</v>
      </c>
      <c r="CQ42" s="86">
        <v>0.0</v>
      </c>
      <c r="CR42" s="85">
        <v>0.0</v>
      </c>
      <c r="CS42" s="87">
        <v>0.0</v>
      </c>
      <c r="CT42" s="41"/>
      <c r="CU42" s="41"/>
      <c r="CV42" s="53"/>
      <c r="CW42" s="88">
        <v>3.0</v>
      </c>
      <c r="CX42" s="85">
        <v>3.0</v>
      </c>
      <c r="CY42" s="86">
        <v>1.0</v>
      </c>
      <c r="CZ42" s="85">
        <v>0.0</v>
      </c>
      <c r="DA42" s="41"/>
      <c r="DB42" s="41"/>
      <c r="DC42" s="53"/>
      <c r="DD42" s="88">
        <v>3.0</v>
      </c>
      <c r="DE42" s="85">
        <v>3.0</v>
      </c>
      <c r="DF42" s="87">
        <v>1.0</v>
      </c>
    </row>
    <row r="43" ht="12.0" customHeight="1">
      <c r="E43" s="70">
        <v>41.0</v>
      </c>
      <c r="F43" s="71" t="s">
        <v>116</v>
      </c>
      <c r="G43" s="70" t="s">
        <v>117</v>
      </c>
      <c r="H43" s="70">
        <v>4.0</v>
      </c>
      <c r="J43" s="72">
        <v>41.0</v>
      </c>
      <c r="K43" s="73" t="s">
        <v>118</v>
      </c>
      <c r="L43" s="74">
        <v>37.91</v>
      </c>
      <c r="M43" s="75" t="s">
        <v>34</v>
      </c>
      <c r="N43" s="75" t="s">
        <v>34</v>
      </c>
      <c r="O43" s="75" t="s">
        <v>34</v>
      </c>
      <c r="P43" s="72">
        <v>26.44</v>
      </c>
      <c r="Q43" s="72">
        <v>2.49</v>
      </c>
      <c r="R43" s="75" t="s">
        <v>34</v>
      </c>
      <c r="S43" s="75" t="s">
        <v>34</v>
      </c>
      <c r="T43" s="72">
        <v>0.49</v>
      </c>
      <c r="U43" s="75" t="s">
        <v>34</v>
      </c>
      <c r="V43" s="72">
        <v>1.89</v>
      </c>
      <c r="W43" s="72">
        <v>23.2</v>
      </c>
      <c r="X43" s="75" t="s">
        <v>34</v>
      </c>
      <c r="Y43" s="75" t="s">
        <v>34</v>
      </c>
      <c r="Z43" s="72">
        <v>7.58</v>
      </c>
      <c r="AA43" s="4">
        <v>66.73</v>
      </c>
      <c r="AC43" s="72">
        <v>41.0</v>
      </c>
      <c r="AD43" s="73" t="s">
        <v>118</v>
      </c>
      <c r="AE43" s="74">
        <v>2.0</v>
      </c>
      <c r="AF43" s="75" t="s">
        <v>34</v>
      </c>
      <c r="AG43" s="75" t="s">
        <v>34</v>
      </c>
      <c r="AH43" s="75" t="s">
        <v>34</v>
      </c>
      <c r="AI43" s="72">
        <v>1.0</v>
      </c>
      <c r="AJ43" s="72">
        <v>0.0</v>
      </c>
      <c r="AK43" s="75" t="s">
        <v>34</v>
      </c>
      <c r="AL43" s="75" t="s">
        <v>34</v>
      </c>
      <c r="AM43" s="72">
        <v>0.0</v>
      </c>
      <c r="AN43" s="75" t="s">
        <v>34</v>
      </c>
      <c r="AO43" s="72">
        <v>0.0</v>
      </c>
      <c r="AP43" s="72">
        <v>1.0</v>
      </c>
      <c r="AQ43" s="75" t="s">
        <v>34</v>
      </c>
      <c r="AR43" s="75" t="s">
        <v>34</v>
      </c>
      <c r="AS43" s="72">
        <v>0.0</v>
      </c>
      <c r="AT43" s="4">
        <v>4.0</v>
      </c>
      <c r="AX43" s="53"/>
      <c r="AY43" s="76">
        <v>37.91</v>
      </c>
      <c r="AZ43" s="80">
        <v>0.0</v>
      </c>
      <c r="BA43" s="78">
        <f t="shared" si="2"/>
        <v>31.31</v>
      </c>
      <c r="BH43" s="57"/>
      <c r="BI43" s="81">
        <v>0.0</v>
      </c>
      <c r="BJ43" s="80">
        <v>0.0</v>
      </c>
      <c r="BK43" s="79">
        <v>23.2</v>
      </c>
      <c r="BL43" s="80">
        <v>0.0</v>
      </c>
      <c r="BM43" s="82">
        <v>7.58</v>
      </c>
      <c r="BS43" s="75">
        <v>0.0</v>
      </c>
      <c r="BT43" s="75">
        <v>0.0</v>
      </c>
      <c r="BU43" s="72">
        <v>26.44</v>
      </c>
      <c r="BV43" s="72">
        <v>2.49</v>
      </c>
      <c r="BW43" s="72">
        <v>0.49</v>
      </c>
      <c r="BX43" s="75">
        <v>0.0</v>
      </c>
      <c r="BY43" s="72">
        <v>1.89</v>
      </c>
      <c r="BZ43" s="75">
        <v>0.0</v>
      </c>
      <c r="CA43" s="83">
        <f t="shared" si="1"/>
        <v>31.31</v>
      </c>
      <c r="CJ43" s="84">
        <v>41.0</v>
      </c>
      <c r="CK43" s="64"/>
      <c r="CL43" s="85">
        <v>2.0</v>
      </c>
      <c r="CM43" s="86">
        <v>0.0</v>
      </c>
      <c r="CN43" s="85">
        <v>1.0</v>
      </c>
      <c r="CO43" s="86">
        <v>0.0</v>
      </c>
      <c r="CP43" s="85">
        <v>0.0</v>
      </c>
      <c r="CQ43" s="86">
        <v>1.0</v>
      </c>
      <c r="CR43" s="85">
        <v>0.0</v>
      </c>
      <c r="CS43" s="87">
        <v>0.0</v>
      </c>
      <c r="CT43" s="41"/>
      <c r="CU43" s="41"/>
      <c r="CV43" s="53"/>
      <c r="CW43" s="88">
        <v>2.0</v>
      </c>
      <c r="CX43" s="85">
        <v>1.0</v>
      </c>
      <c r="CY43" s="86">
        <v>1.0</v>
      </c>
      <c r="CZ43" s="85">
        <v>0.0</v>
      </c>
      <c r="DA43" s="41"/>
      <c r="DB43" s="41"/>
      <c r="DC43" s="53"/>
      <c r="DD43" s="88">
        <v>2.0</v>
      </c>
      <c r="DE43" s="85">
        <v>1.0</v>
      </c>
      <c r="DF43" s="87">
        <v>1.0</v>
      </c>
    </row>
    <row r="44" ht="12.0" customHeight="1">
      <c r="E44" s="70">
        <v>42.0</v>
      </c>
      <c r="F44" s="71" t="s">
        <v>116</v>
      </c>
      <c r="G44" s="71" t="s">
        <v>119</v>
      </c>
      <c r="H44" s="70">
        <v>8.0</v>
      </c>
      <c r="J44" s="72">
        <v>42.0</v>
      </c>
      <c r="K44" s="73" t="s">
        <v>120</v>
      </c>
      <c r="L44" s="72">
        <v>20.58</v>
      </c>
      <c r="M44" s="75" t="s">
        <v>34</v>
      </c>
      <c r="N44" s="72">
        <v>16.26</v>
      </c>
      <c r="O44" s="72">
        <v>19.51</v>
      </c>
      <c r="P44" s="97">
        <v>27.0</v>
      </c>
      <c r="Q44" s="72">
        <v>1.78</v>
      </c>
      <c r="R44" s="72">
        <v>1.65</v>
      </c>
      <c r="S44" s="75" t="s">
        <v>34</v>
      </c>
      <c r="T44" s="72">
        <v>0.55</v>
      </c>
      <c r="U44" s="75" t="s">
        <v>34</v>
      </c>
      <c r="V44" s="75" t="s">
        <v>34</v>
      </c>
      <c r="W44" s="72">
        <v>6.82</v>
      </c>
      <c r="X44" s="72">
        <v>2.19</v>
      </c>
      <c r="Y44" s="75" t="s">
        <v>34</v>
      </c>
      <c r="Z44" s="72">
        <v>3.66</v>
      </c>
      <c r="AA44" s="4">
        <v>76.28</v>
      </c>
      <c r="AC44" s="72">
        <v>42.0</v>
      </c>
      <c r="AD44" s="73" t="s">
        <v>120</v>
      </c>
      <c r="AE44" s="72">
        <v>2.0</v>
      </c>
      <c r="AF44" s="75" t="s">
        <v>34</v>
      </c>
      <c r="AG44" s="72">
        <v>1.0</v>
      </c>
      <c r="AH44" s="72">
        <v>2.0</v>
      </c>
      <c r="AI44" s="97">
        <v>3.0</v>
      </c>
      <c r="AJ44" s="72">
        <v>0.0</v>
      </c>
      <c r="AK44" s="72">
        <v>0.0</v>
      </c>
      <c r="AL44" s="75" t="s">
        <v>34</v>
      </c>
      <c r="AM44" s="72">
        <v>0.0</v>
      </c>
      <c r="AN44" s="75" t="s">
        <v>34</v>
      </c>
      <c r="AO44" s="75" t="s">
        <v>34</v>
      </c>
      <c r="AP44" s="72">
        <v>0.0</v>
      </c>
      <c r="AQ44" s="72">
        <v>0.0</v>
      </c>
      <c r="AR44" s="75" t="s">
        <v>34</v>
      </c>
      <c r="AS44" s="72">
        <v>0.0</v>
      </c>
      <c r="AT44" s="4">
        <v>8.0</v>
      </c>
      <c r="AX44" s="53"/>
      <c r="AY44" s="90">
        <v>20.58</v>
      </c>
      <c r="AZ44" s="80">
        <v>0.0</v>
      </c>
      <c r="BA44" s="78">
        <f t="shared" si="2"/>
        <v>67.29</v>
      </c>
      <c r="BH44" s="57"/>
      <c r="BI44" s="79">
        <v>1.65</v>
      </c>
      <c r="BJ44" s="80">
        <v>0.0</v>
      </c>
      <c r="BK44" s="79">
        <v>6.82</v>
      </c>
      <c r="BL44" s="80">
        <v>0.0</v>
      </c>
      <c r="BM44" s="82">
        <v>3.66</v>
      </c>
      <c r="BS44" s="72">
        <v>16.26</v>
      </c>
      <c r="BT44" s="72">
        <v>19.51</v>
      </c>
      <c r="BU44" s="97">
        <v>27.0</v>
      </c>
      <c r="BV44" s="72">
        <v>1.78</v>
      </c>
      <c r="BW44" s="72">
        <v>0.55</v>
      </c>
      <c r="BX44" s="75">
        <v>0.0</v>
      </c>
      <c r="BY44" s="75">
        <v>0.0</v>
      </c>
      <c r="BZ44" s="72">
        <v>2.19</v>
      </c>
      <c r="CA44" s="83">
        <f t="shared" si="1"/>
        <v>67.29</v>
      </c>
      <c r="CJ44" s="84">
        <v>42.0</v>
      </c>
      <c r="CK44" s="64"/>
      <c r="CL44" s="85">
        <v>2.0</v>
      </c>
      <c r="CM44" s="86">
        <v>0.0</v>
      </c>
      <c r="CN44" s="85">
        <v>6.0</v>
      </c>
      <c r="CO44" s="86">
        <v>0.0</v>
      </c>
      <c r="CP44" s="85">
        <v>0.0</v>
      </c>
      <c r="CQ44" s="86">
        <v>0.0</v>
      </c>
      <c r="CR44" s="85">
        <v>0.0</v>
      </c>
      <c r="CS44" s="87">
        <v>0.0</v>
      </c>
      <c r="CT44" s="41"/>
      <c r="CU44" s="41"/>
      <c r="CV44" s="53"/>
      <c r="CW44" s="88">
        <v>1.0</v>
      </c>
      <c r="CX44" s="85">
        <v>6.0</v>
      </c>
      <c r="CY44" s="86">
        <v>1.0</v>
      </c>
      <c r="CZ44" s="85">
        <v>0.0</v>
      </c>
      <c r="DA44" s="41"/>
      <c r="DB44" s="41"/>
      <c r="DC44" s="53"/>
      <c r="DD44" s="88">
        <v>2.0</v>
      </c>
      <c r="DE44" s="85">
        <v>6.0</v>
      </c>
      <c r="DF44" s="87">
        <v>0.0</v>
      </c>
    </row>
    <row r="45" ht="12.0" customHeight="1">
      <c r="E45" s="70">
        <v>43.0</v>
      </c>
      <c r="F45" s="71" t="s">
        <v>121</v>
      </c>
      <c r="G45" s="70" t="s">
        <v>122</v>
      </c>
      <c r="H45" s="70">
        <v>7.0</v>
      </c>
      <c r="J45" s="72">
        <v>43.0</v>
      </c>
      <c r="K45" s="73" t="s">
        <v>121</v>
      </c>
      <c r="L45" s="72">
        <v>21.9</v>
      </c>
      <c r="M45" s="75" t="s">
        <v>34</v>
      </c>
      <c r="N45" s="98">
        <v>28.33</v>
      </c>
      <c r="O45" s="72">
        <v>9.78</v>
      </c>
      <c r="P45" s="72">
        <v>17.3</v>
      </c>
      <c r="Q45" s="72">
        <v>1.34</v>
      </c>
      <c r="R45" s="72">
        <v>12.2</v>
      </c>
      <c r="S45" s="75" t="s">
        <v>34</v>
      </c>
      <c r="T45" s="72">
        <v>0.08</v>
      </c>
      <c r="U45" s="75" t="s">
        <v>34</v>
      </c>
      <c r="V45" s="75" t="s">
        <v>34</v>
      </c>
      <c r="W45" s="72">
        <v>3.0</v>
      </c>
      <c r="X45" s="75" t="s">
        <v>34</v>
      </c>
      <c r="Y45" s="75" t="s">
        <v>34</v>
      </c>
      <c r="Z45" s="72">
        <v>6.07</v>
      </c>
      <c r="AA45" s="4">
        <v>64.92</v>
      </c>
      <c r="AC45" s="72">
        <v>43.0</v>
      </c>
      <c r="AD45" s="73" t="s">
        <v>121</v>
      </c>
      <c r="AE45" s="74">
        <v>2.0</v>
      </c>
      <c r="AF45" s="75" t="s">
        <v>34</v>
      </c>
      <c r="AG45" s="98">
        <v>2.0</v>
      </c>
      <c r="AH45" s="72">
        <v>1.0</v>
      </c>
      <c r="AI45" s="72">
        <v>1.0</v>
      </c>
      <c r="AJ45" s="72">
        <v>0.0</v>
      </c>
      <c r="AK45" s="72">
        <v>1.0</v>
      </c>
      <c r="AL45" s="75" t="s">
        <v>34</v>
      </c>
      <c r="AM45" s="72">
        <v>0.0</v>
      </c>
      <c r="AN45" s="75" t="s">
        <v>34</v>
      </c>
      <c r="AO45" s="75" t="s">
        <v>34</v>
      </c>
      <c r="AP45" s="72">
        <v>0.0</v>
      </c>
      <c r="AQ45" s="75" t="s">
        <v>34</v>
      </c>
      <c r="AR45" s="75" t="s">
        <v>34</v>
      </c>
      <c r="AS45" s="72">
        <v>0.0</v>
      </c>
      <c r="AT45" s="4">
        <v>7.0</v>
      </c>
      <c r="AX45" s="53"/>
      <c r="AY45" s="90">
        <v>21.9</v>
      </c>
      <c r="AZ45" s="80">
        <v>0.0</v>
      </c>
      <c r="BA45" s="78">
        <f t="shared" si="2"/>
        <v>56.83</v>
      </c>
      <c r="BH45" s="57"/>
      <c r="BI45" s="79">
        <v>12.2</v>
      </c>
      <c r="BJ45" s="80">
        <v>0.0</v>
      </c>
      <c r="BK45" s="79">
        <v>3.0</v>
      </c>
      <c r="BL45" s="80">
        <v>0.0</v>
      </c>
      <c r="BM45" s="82">
        <v>6.07</v>
      </c>
      <c r="BS45" s="98">
        <v>28.33</v>
      </c>
      <c r="BT45" s="72">
        <v>9.78</v>
      </c>
      <c r="BU45" s="72">
        <v>17.3</v>
      </c>
      <c r="BV45" s="72">
        <v>1.34</v>
      </c>
      <c r="BW45" s="72">
        <v>0.08</v>
      </c>
      <c r="BX45" s="75">
        <v>0.0</v>
      </c>
      <c r="BY45" s="75">
        <v>0.0</v>
      </c>
      <c r="BZ45" s="75">
        <v>0.0</v>
      </c>
      <c r="CA45" s="83">
        <f t="shared" si="1"/>
        <v>56.83</v>
      </c>
      <c r="CJ45" s="84">
        <v>43.0</v>
      </c>
      <c r="CK45" s="64"/>
      <c r="CL45" s="85">
        <v>1.0</v>
      </c>
      <c r="CM45" s="86">
        <v>0.0</v>
      </c>
      <c r="CN45" s="85">
        <v>5.0</v>
      </c>
      <c r="CO45" s="86">
        <v>1.0</v>
      </c>
      <c r="CP45" s="85">
        <v>0.0</v>
      </c>
      <c r="CQ45" s="86">
        <v>0.0</v>
      </c>
      <c r="CR45" s="85">
        <v>0.0</v>
      </c>
      <c r="CS45" s="87">
        <v>0.0</v>
      </c>
      <c r="CT45" s="41"/>
      <c r="CU45" s="41"/>
      <c r="CV45" s="53"/>
      <c r="CW45" s="88">
        <v>1.0</v>
      </c>
      <c r="CX45" s="85">
        <v>5.0</v>
      </c>
      <c r="CY45" s="86">
        <v>0.0</v>
      </c>
      <c r="CZ45" s="85">
        <v>1.0</v>
      </c>
      <c r="DA45" s="41"/>
      <c r="DB45" s="41"/>
      <c r="DC45" s="53"/>
      <c r="DD45" s="88">
        <v>3.0</v>
      </c>
      <c r="DE45" s="85">
        <v>4.0</v>
      </c>
      <c r="DF45" s="87">
        <v>0.0</v>
      </c>
    </row>
    <row r="46" ht="12.0" customHeight="1">
      <c r="E46" s="70">
        <v>44.0</v>
      </c>
      <c r="F46" s="71" t="s">
        <v>123</v>
      </c>
      <c r="G46" s="70" t="s">
        <v>124</v>
      </c>
      <c r="H46" s="70">
        <v>6.0</v>
      </c>
      <c r="J46" s="72">
        <v>44.0</v>
      </c>
      <c r="K46" s="73" t="s">
        <v>123</v>
      </c>
      <c r="L46" s="72">
        <v>14.1</v>
      </c>
      <c r="M46" s="75" t="s">
        <v>34</v>
      </c>
      <c r="N46" s="98">
        <v>44.91</v>
      </c>
      <c r="O46" s="72">
        <v>0.34</v>
      </c>
      <c r="P46" s="72">
        <v>14.11</v>
      </c>
      <c r="Q46" s="75" t="s">
        <v>34</v>
      </c>
      <c r="R46" s="72">
        <v>14.7</v>
      </c>
      <c r="S46" s="75" t="s">
        <v>34</v>
      </c>
      <c r="T46" s="72">
        <v>0.03</v>
      </c>
      <c r="U46" s="75" t="s">
        <v>34</v>
      </c>
      <c r="V46" s="75" t="s">
        <v>34</v>
      </c>
      <c r="W46" s="72">
        <v>6.23</v>
      </c>
      <c r="X46" s="72">
        <v>2.11</v>
      </c>
      <c r="Y46" s="75" t="s">
        <v>34</v>
      </c>
      <c r="Z46" s="72">
        <v>3.47</v>
      </c>
      <c r="AA46" s="4">
        <v>72.45</v>
      </c>
      <c r="AC46" s="72">
        <v>44.0</v>
      </c>
      <c r="AD46" s="73" t="s">
        <v>123</v>
      </c>
      <c r="AE46" s="72">
        <v>1.0</v>
      </c>
      <c r="AF46" s="75" t="s">
        <v>34</v>
      </c>
      <c r="AG46" s="98">
        <v>3.0</v>
      </c>
      <c r="AH46" s="72">
        <v>0.0</v>
      </c>
      <c r="AI46" s="72">
        <v>1.0</v>
      </c>
      <c r="AJ46" s="75" t="s">
        <v>34</v>
      </c>
      <c r="AK46" s="72">
        <v>1.0</v>
      </c>
      <c r="AL46" s="75" t="s">
        <v>34</v>
      </c>
      <c r="AM46" s="72">
        <v>0.0</v>
      </c>
      <c r="AN46" s="75" t="s">
        <v>34</v>
      </c>
      <c r="AO46" s="75" t="s">
        <v>34</v>
      </c>
      <c r="AP46" s="72">
        <v>0.0</v>
      </c>
      <c r="AQ46" s="72">
        <v>0.0</v>
      </c>
      <c r="AR46" s="75" t="s">
        <v>34</v>
      </c>
      <c r="AS46" s="72">
        <v>0.0</v>
      </c>
      <c r="AT46" s="4">
        <v>6.0</v>
      </c>
      <c r="AX46" s="53"/>
      <c r="AY46" s="90">
        <v>14.1</v>
      </c>
      <c r="AZ46" s="80">
        <v>0.0</v>
      </c>
      <c r="BA46" s="78">
        <f t="shared" si="2"/>
        <v>61.5</v>
      </c>
      <c r="BH46" s="57"/>
      <c r="BI46" s="79">
        <v>14.7</v>
      </c>
      <c r="BJ46" s="80">
        <v>0.0</v>
      </c>
      <c r="BK46" s="79">
        <v>6.23</v>
      </c>
      <c r="BL46" s="80">
        <v>0.0</v>
      </c>
      <c r="BM46" s="82">
        <v>3.47</v>
      </c>
      <c r="BS46" s="98">
        <v>44.91</v>
      </c>
      <c r="BT46" s="72">
        <v>0.34</v>
      </c>
      <c r="BU46" s="72">
        <v>14.11</v>
      </c>
      <c r="BV46" s="75">
        <v>0.0</v>
      </c>
      <c r="BW46" s="72">
        <v>0.03</v>
      </c>
      <c r="BX46" s="75">
        <v>0.0</v>
      </c>
      <c r="BY46" s="75">
        <v>0.0</v>
      </c>
      <c r="BZ46" s="72">
        <v>2.11</v>
      </c>
      <c r="CA46" s="83">
        <f t="shared" si="1"/>
        <v>61.5</v>
      </c>
      <c r="CJ46" s="84">
        <v>44.0</v>
      </c>
      <c r="CK46" s="64"/>
      <c r="CL46" s="85">
        <v>1.0</v>
      </c>
      <c r="CM46" s="86">
        <v>0.0</v>
      </c>
      <c r="CN46" s="85">
        <v>4.0</v>
      </c>
      <c r="CO46" s="86">
        <v>1.0</v>
      </c>
      <c r="CP46" s="85">
        <v>0.0</v>
      </c>
      <c r="CQ46" s="86">
        <v>0.0</v>
      </c>
      <c r="CR46" s="85">
        <v>0.0</v>
      </c>
      <c r="CS46" s="87">
        <v>0.0</v>
      </c>
      <c r="CT46" s="41"/>
      <c r="CU46" s="41"/>
      <c r="CV46" s="53"/>
      <c r="CW46" s="88">
        <v>1.0</v>
      </c>
      <c r="CX46" s="85">
        <v>4.0</v>
      </c>
      <c r="CY46" s="86">
        <v>0.0</v>
      </c>
      <c r="CZ46" s="85">
        <v>1.0</v>
      </c>
      <c r="DA46" s="41"/>
      <c r="DB46" s="41"/>
      <c r="DC46" s="53"/>
      <c r="DD46" s="88">
        <v>2.0</v>
      </c>
      <c r="DE46" s="85">
        <v>4.0</v>
      </c>
      <c r="DF46" s="87">
        <v>0.0</v>
      </c>
    </row>
    <row r="47" ht="12.0" customHeight="1">
      <c r="E47" s="70">
        <v>45.0</v>
      </c>
      <c r="F47" s="71" t="s">
        <v>125</v>
      </c>
      <c r="G47" s="70" t="s">
        <v>126</v>
      </c>
      <c r="H47" s="70">
        <v>7.0</v>
      </c>
      <c r="J47" s="72">
        <v>45.0</v>
      </c>
      <c r="K47" s="73" t="s">
        <v>125</v>
      </c>
      <c r="L47" s="72">
        <v>3.96</v>
      </c>
      <c r="M47" s="75" t="s">
        <v>34</v>
      </c>
      <c r="N47" s="98">
        <v>50.84</v>
      </c>
      <c r="O47" s="72">
        <v>0.11</v>
      </c>
      <c r="P47" s="72">
        <v>7.53</v>
      </c>
      <c r="Q47" s="72">
        <v>0.6</v>
      </c>
      <c r="R47" s="72">
        <v>17.6</v>
      </c>
      <c r="S47" s="75" t="s">
        <v>34</v>
      </c>
      <c r="T47" s="75" t="s">
        <v>34</v>
      </c>
      <c r="U47" s="75" t="s">
        <v>34</v>
      </c>
      <c r="V47" s="72">
        <v>0.54</v>
      </c>
      <c r="W47" s="72">
        <v>7.06</v>
      </c>
      <c r="X47" s="72">
        <v>4.93</v>
      </c>
      <c r="Y47" s="75" t="s">
        <v>34</v>
      </c>
      <c r="Z47" s="72">
        <v>6.83</v>
      </c>
      <c r="AA47" s="4">
        <v>75.68</v>
      </c>
      <c r="AC47" s="72">
        <v>45.0</v>
      </c>
      <c r="AD47" s="73" t="s">
        <v>125</v>
      </c>
      <c r="AE47" s="72">
        <v>0.0</v>
      </c>
      <c r="AF47" s="75" t="s">
        <v>34</v>
      </c>
      <c r="AG47" s="98">
        <v>5.0</v>
      </c>
      <c r="AH47" s="72">
        <v>0.0</v>
      </c>
      <c r="AI47" s="72">
        <v>0.0</v>
      </c>
      <c r="AJ47" s="72">
        <v>0.0</v>
      </c>
      <c r="AK47" s="72">
        <v>2.0</v>
      </c>
      <c r="AL47" s="75" t="s">
        <v>34</v>
      </c>
      <c r="AM47" s="75" t="s">
        <v>34</v>
      </c>
      <c r="AN47" s="75" t="s">
        <v>34</v>
      </c>
      <c r="AO47" s="72">
        <v>0.0</v>
      </c>
      <c r="AP47" s="72">
        <v>0.0</v>
      </c>
      <c r="AQ47" s="72">
        <v>0.0</v>
      </c>
      <c r="AR47" s="75" t="s">
        <v>34</v>
      </c>
      <c r="AS47" s="72">
        <v>0.0</v>
      </c>
      <c r="AT47" s="4">
        <v>7.0</v>
      </c>
      <c r="AX47" s="53"/>
      <c r="AY47" s="90">
        <v>3.96</v>
      </c>
      <c r="AZ47" s="80">
        <v>0.0</v>
      </c>
      <c r="BA47" s="78">
        <f t="shared" si="2"/>
        <v>64.55</v>
      </c>
      <c r="BH47" s="57"/>
      <c r="BI47" s="79">
        <v>17.6</v>
      </c>
      <c r="BJ47" s="80">
        <v>0.0</v>
      </c>
      <c r="BK47" s="79">
        <v>7.06</v>
      </c>
      <c r="BL47" s="80">
        <v>0.0</v>
      </c>
      <c r="BM47" s="82">
        <v>6.83</v>
      </c>
      <c r="BS47" s="98">
        <v>50.84</v>
      </c>
      <c r="BT47" s="72">
        <v>0.11</v>
      </c>
      <c r="BU47" s="72">
        <v>7.53</v>
      </c>
      <c r="BV47" s="72">
        <v>0.6</v>
      </c>
      <c r="BW47" s="75">
        <v>0.0</v>
      </c>
      <c r="BX47" s="75">
        <v>0.0</v>
      </c>
      <c r="BY47" s="72">
        <v>0.54</v>
      </c>
      <c r="BZ47" s="72">
        <v>4.93</v>
      </c>
      <c r="CA47" s="83">
        <f t="shared" si="1"/>
        <v>64.55</v>
      </c>
      <c r="CJ47" s="84">
        <v>45.0</v>
      </c>
      <c r="CK47" s="64"/>
      <c r="CL47" s="85">
        <v>0.0</v>
      </c>
      <c r="CM47" s="86">
        <v>0.0</v>
      </c>
      <c r="CN47" s="85">
        <v>6.0</v>
      </c>
      <c r="CO47" s="86">
        <v>1.0</v>
      </c>
      <c r="CP47" s="85">
        <v>0.0</v>
      </c>
      <c r="CQ47" s="86">
        <v>0.0</v>
      </c>
      <c r="CR47" s="85">
        <v>0.0</v>
      </c>
      <c r="CS47" s="87">
        <v>0.0</v>
      </c>
      <c r="CT47" s="41"/>
      <c r="CU47" s="41"/>
      <c r="CV47" s="53"/>
      <c r="CW47" s="88">
        <v>0.0</v>
      </c>
      <c r="CX47" s="85">
        <v>5.0</v>
      </c>
      <c r="CY47" s="86">
        <v>1.0</v>
      </c>
      <c r="CZ47" s="85">
        <v>1.0</v>
      </c>
      <c r="DA47" s="41"/>
      <c r="DB47" s="41"/>
      <c r="DC47" s="53"/>
      <c r="DD47" s="88">
        <v>1.0</v>
      </c>
      <c r="DE47" s="85">
        <v>5.0</v>
      </c>
      <c r="DF47" s="87">
        <v>1.0</v>
      </c>
    </row>
    <row r="48" ht="12.0" customHeight="1">
      <c r="E48" s="70">
        <v>46.0</v>
      </c>
      <c r="F48" s="71" t="s">
        <v>127</v>
      </c>
      <c r="G48" s="70" t="s">
        <v>128</v>
      </c>
      <c r="H48" s="70">
        <v>6.0</v>
      </c>
      <c r="J48" s="72">
        <v>46.0</v>
      </c>
      <c r="K48" s="73" t="s">
        <v>127</v>
      </c>
      <c r="L48" s="72">
        <v>7.12</v>
      </c>
      <c r="M48" s="75" t="s">
        <v>34</v>
      </c>
      <c r="N48" s="98">
        <v>39.14</v>
      </c>
      <c r="O48" s="72">
        <v>2.53</v>
      </c>
      <c r="P48" s="72">
        <v>4.96</v>
      </c>
      <c r="Q48" s="75" t="s">
        <v>34</v>
      </c>
      <c r="R48" s="72">
        <v>10.01</v>
      </c>
      <c r="S48" s="75" t="s">
        <v>34</v>
      </c>
      <c r="T48" s="72">
        <v>4.29</v>
      </c>
      <c r="U48" s="72">
        <v>5.67</v>
      </c>
      <c r="V48" s="75" t="s">
        <v>34</v>
      </c>
      <c r="W48" s="72">
        <v>7.78</v>
      </c>
      <c r="X48" s="72">
        <v>9.49</v>
      </c>
      <c r="Y48" s="75" t="s">
        <v>34</v>
      </c>
      <c r="Z48" s="72">
        <v>9.01</v>
      </c>
      <c r="AA48" s="4">
        <v>77.6</v>
      </c>
      <c r="AC48" s="72">
        <v>46.0</v>
      </c>
      <c r="AD48" s="73" t="s">
        <v>127</v>
      </c>
      <c r="AE48" s="72">
        <v>0.0</v>
      </c>
      <c r="AF48" s="75" t="s">
        <v>34</v>
      </c>
      <c r="AG48" s="98">
        <v>4.0</v>
      </c>
      <c r="AH48" s="72">
        <v>0.0</v>
      </c>
      <c r="AI48" s="72">
        <v>0.0</v>
      </c>
      <c r="AJ48" s="75" t="s">
        <v>34</v>
      </c>
      <c r="AK48" s="72">
        <v>1.0</v>
      </c>
      <c r="AL48" s="75" t="s">
        <v>34</v>
      </c>
      <c r="AM48" s="72">
        <v>0.0</v>
      </c>
      <c r="AN48" s="72">
        <v>0.0</v>
      </c>
      <c r="AO48" s="75" t="s">
        <v>34</v>
      </c>
      <c r="AP48" s="72">
        <v>0.0</v>
      </c>
      <c r="AQ48" s="72">
        <v>1.0</v>
      </c>
      <c r="AR48" s="75" t="s">
        <v>34</v>
      </c>
      <c r="AS48" s="72">
        <v>0.0</v>
      </c>
      <c r="AT48" s="4">
        <v>6.0</v>
      </c>
      <c r="AX48" s="53"/>
      <c r="AY48" s="90">
        <v>7.12</v>
      </c>
      <c r="AZ48" s="80">
        <v>0.0</v>
      </c>
      <c r="BA48" s="78">
        <f t="shared" si="2"/>
        <v>66.08</v>
      </c>
      <c r="BH48" s="57"/>
      <c r="BI48" s="79">
        <v>10.01</v>
      </c>
      <c r="BJ48" s="80">
        <v>0.0</v>
      </c>
      <c r="BK48" s="79">
        <v>7.78</v>
      </c>
      <c r="BL48" s="80">
        <v>0.0</v>
      </c>
      <c r="BM48" s="82">
        <v>9.01</v>
      </c>
      <c r="BS48" s="98">
        <v>39.14</v>
      </c>
      <c r="BT48" s="72">
        <v>2.53</v>
      </c>
      <c r="BU48" s="72">
        <v>4.96</v>
      </c>
      <c r="BV48" s="75">
        <v>0.0</v>
      </c>
      <c r="BW48" s="72">
        <v>4.29</v>
      </c>
      <c r="BX48" s="72">
        <v>5.67</v>
      </c>
      <c r="BY48" s="75">
        <v>0.0</v>
      </c>
      <c r="BZ48" s="72">
        <v>9.49</v>
      </c>
      <c r="CA48" s="83">
        <f t="shared" si="1"/>
        <v>66.08</v>
      </c>
      <c r="CJ48" s="84">
        <v>46.0</v>
      </c>
      <c r="CK48" s="64"/>
      <c r="CL48" s="85">
        <v>0.0</v>
      </c>
      <c r="CM48" s="86">
        <v>0.0</v>
      </c>
      <c r="CN48" s="85">
        <v>6.0</v>
      </c>
      <c r="CO48" s="86">
        <v>0.0</v>
      </c>
      <c r="CP48" s="85">
        <v>0.0</v>
      </c>
      <c r="CQ48" s="86">
        <v>0.0</v>
      </c>
      <c r="CR48" s="85">
        <v>0.0</v>
      </c>
      <c r="CS48" s="87">
        <v>0.0</v>
      </c>
      <c r="CT48" s="41"/>
      <c r="CU48" s="41"/>
      <c r="CV48" s="53"/>
      <c r="CW48" s="88">
        <v>0.0</v>
      </c>
      <c r="CX48" s="85">
        <v>5.0</v>
      </c>
      <c r="CY48" s="86">
        <v>1.0</v>
      </c>
      <c r="CZ48" s="85">
        <v>0.0</v>
      </c>
      <c r="DA48" s="41"/>
      <c r="DB48" s="41"/>
      <c r="DC48" s="53"/>
      <c r="DD48" s="88">
        <v>1.0</v>
      </c>
      <c r="DE48" s="85">
        <v>4.0</v>
      </c>
      <c r="DF48" s="87">
        <v>1.0</v>
      </c>
    </row>
    <row r="49" ht="12.0" customHeight="1">
      <c r="E49" s="70">
        <v>47.0</v>
      </c>
      <c r="F49" s="71" t="s">
        <v>129</v>
      </c>
      <c r="G49" s="70" t="s">
        <v>130</v>
      </c>
      <c r="H49" s="70">
        <v>7.0</v>
      </c>
      <c r="J49" s="72">
        <v>47.0</v>
      </c>
      <c r="K49" s="73" t="s">
        <v>129</v>
      </c>
      <c r="L49" s="72">
        <v>14.31</v>
      </c>
      <c r="M49" s="75" t="s">
        <v>34</v>
      </c>
      <c r="N49" s="98">
        <v>50.42</v>
      </c>
      <c r="O49" s="72">
        <v>8.09</v>
      </c>
      <c r="P49" s="72">
        <v>5.39</v>
      </c>
      <c r="Q49" s="72">
        <v>0.96</v>
      </c>
      <c r="R49" s="72">
        <v>1.38</v>
      </c>
      <c r="S49" s="75" t="s">
        <v>34</v>
      </c>
      <c r="T49" s="72">
        <v>0.06</v>
      </c>
      <c r="U49" s="72">
        <v>1.54</v>
      </c>
      <c r="V49" s="75" t="s">
        <v>34</v>
      </c>
      <c r="W49" s="75" t="s">
        <v>34</v>
      </c>
      <c r="X49" s="72">
        <v>3.7</v>
      </c>
      <c r="Y49" s="75" t="s">
        <v>34</v>
      </c>
      <c r="Z49" s="72" t="s">
        <v>131</v>
      </c>
      <c r="AA49" s="4">
        <v>69.02</v>
      </c>
      <c r="AC49" s="72">
        <v>47.0</v>
      </c>
      <c r="AD49" s="73" t="s">
        <v>129</v>
      </c>
      <c r="AE49" s="72">
        <v>1.0</v>
      </c>
      <c r="AF49" s="75" t="s">
        <v>34</v>
      </c>
      <c r="AG49" s="98">
        <v>5.0</v>
      </c>
      <c r="AH49" s="72">
        <v>0.0</v>
      </c>
      <c r="AI49" s="72">
        <v>0.0</v>
      </c>
      <c r="AJ49" s="72">
        <v>0.0</v>
      </c>
      <c r="AK49" s="72">
        <v>0.0</v>
      </c>
      <c r="AL49" s="75" t="s">
        <v>34</v>
      </c>
      <c r="AM49" s="72">
        <v>0.0</v>
      </c>
      <c r="AN49" s="72">
        <v>0.0</v>
      </c>
      <c r="AO49" s="75" t="s">
        <v>34</v>
      </c>
      <c r="AP49" s="75" t="s">
        <v>34</v>
      </c>
      <c r="AQ49" s="72">
        <v>0.0</v>
      </c>
      <c r="AR49" s="75" t="s">
        <v>34</v>
      </c>
      <c r="AS49" s="72" t="s">
        <v>132</v>
      </c>
      <c r="AT49" s="4">
        <v>7.0</v>
      </c>
      <c r="AX49" s="53"/>
      <c r="AY49" s="90">
        <v>14.31</v>
      </c>
      <c r="AZ49" s="80">
        <v>0.0</v>
      </c>
      <c r="BA49" s="78">
        <f t="shared" si="2"/>
        <v>70.16</v>
      </c>
      <c r="BH49" s="57"/>
      <c r="BI49" s="79">
        <v>1.38</v>
      </c>
      <c r="BJ49" s="80">
        <v>0.0</v>
      </c>
      <c r="BK49" s="81">
        <v>0.0</v>
      </c>
      <c r="BL49" s="80">
        <v>0.0</v>
      </c>
      <c r="BM49" s="82" t="s">
        <v>133</v>
      </c>
      <c r="BS49" s="98">
        <v>50.42</v>
      </c>
      <c r="BT49" s="72">
        <v>8.09</v>
      </c>
      <c r="BU49" s="72">
        <v>5.39</v>
      </c>
      <c r="BV49" s="72">
        <v>0.96</v>
      </c>
      <c r="BW49" s="72">
        <v>0.06</v>
      </c>
      <c r="BX49" s="72">
        <v>1.54</v>
      </c>
      <c r="BY49" s="75">
        <v>0.0</v>
      </c>
      <c r="BZ49" s="72">
        <v>3.7</v>
      </c>
      <c r="CA49" s="83">
        <f t="shared" si="1"/>
        <v>70.16</v>
      </c>
      <c r="CJ49" s="84">
        <v>47.0</v>
      </c>
      <c r="CK49" s="64"/>
      <c r="CL49" s="85">
        <v>1.0</v>
      </c>
      <c r="CM49" s="86">
        <v>0.0</v>
      </c>
      <c r="CN49" s="85">
        <v>5.0</v>
      </c>
      <c r="CO49" s="86">
        <v>0.0</v>
      </c>
      <c r="CP49" s="85">
        <v>0.0</v>
      </c>
      <c r="CQ49" s="86">
        <v>0.0</v>
      </c>
      <c r="CR49" s="85">
        <v>0.0</v>
      </c>
      <c r="CS49" s="87">
        <v>1.0</v>
      </c>
      <c r="CT49" s="41"/>
      <c r="CU49" s="41"/>
      <c r="CV49" s="53"/>
      <c r="CW49" s="88">
        <v>1.0</v>
      </c>
      <c r="CX49" s="85">
        <v>6.0</v>
      </c>
      <c r="CY49" s="86">
        <v>0.0</v>
      </c>
      <c r="CZ49" s="85">
        <v>0.0</v>
      </c>
      <c r="DA49" s="41"/>
      <c r="DB49" s="41"/>
      <c r="DC49" s="53"/>
      <c r="DD49" s="88">
        <v>1.0</v>
      </c>
      <c r="DE49" s="85">
        <v>6.0</v>
      </c>
      <c r="DF49" s="87">
        <v>0.0</v>
      </c>
    </row>
    <row r="50" ht="12.0" customHeight="1">
      <c r="E50" s="70">
        <v>48.0</v>
      </c>
      <c r="F50" s="71" t="s">
        <v>134</v>
      </c>
      <c r="G50" s="70" t="s">
        <v>135</v>
      </c>
      <c r="H50" s="70">
        <v>6.0</v>
      </c>
      <c r="J50" s="72">
        <v>48.0</v>
      </c>
      <c r="K50" s="73" t="s">
        <v>134</v>
      </c>
      <c r="L50" s="72">
        <v>16.39</v>
      </c>
      <c r="M50" s="75" t="s">
        <v>34</v>
      </c>
      <c r="N50" s="98">
        <v>27.87</v>
      </c>
      <c r="O50" s="72">
        <v>6.22</v>
      </c>
      <c r="P50" s="72">
        <v>10.41</v>
      </c>
      <c r="Q50" s="75" t="s">
        <v>34</v>
      </c>
      <c r="R50" s="72">
        <v>1.48</v>
      </c>
      <c r="S50" s="72">
        <v>11.82</v>
      </c>
      <c r="T50" s="72">
        <v>0.62</v>
      </c>
      <c r="U50" s="75" t="s">
        <v>34</v>
      </c>
      <c r="V50" s="72">
        <v>0.31</v>
      </c>
      <c r="W50" s="75" t="s">
        <v>34</v>
      </c>
      <c r="X50" s="72">
        <v>15.8</v>
      </c>
      <c r="Y50" s="75" t="s">
        <v>34</v>
      </c>
      <c r="Z50" s="72">
        <v>9.08</v>
      </c>
      <c r="AA50" s="4">
        <v>59.05</v>
      </c>
      <c r="AC50" s="72">
        <v>48.0</v>
      </c>
      <c r="AD50" s="73" t="s">
        <v>134</v>
      </c>
      <c r="AE50" s="72">
        <v>1.0</v>
      </c>
      <c r="AF50" s="75" t="s">
        <v>34</v>
      </c>
      <c r="AG50" s="98">
        <v>2.0</v>
      </c>
      <c r="AH50" s="72">
        <v>0.0</v>
      </c>
      <c r="AI50" s="72">
        <v>1.0</v>
      </c>
      <c r="AJ50" s="75" t="s">
        <v>34</v>
      </c>
      <c r="AK50" s="72">
        <v>0.0</v>
      </c>
      <c r="AL50" s="72">
        <v>1.0</v>
      </c>
      <c r="AM50" s="72">
        <v>0.0</v>
      </c>
      <c r="AN50" s="75" t="s">
        <v>34</v>
      </c>
      <c r="AO50" s="72">
        <v>0.0</v>
      </c>
      <c r="AP50" s="75" t="s">
        <v>34</v>
      </c>
      <c r="AQ50" s="72">
        <v>1.0</v>
      </c>
      <c r="AR50" s="75" t="s">
        <v>34</v>
      </c>
      <c r="AS50" s="72">
        <v>0.0</v>
      </c>
      <c r="AT50" s="4">
        <v>6.0</v>
      </c>
      <c r="AX50" s="53"/>
      <c r="AY50" s="90">
        <v>16.39</v>
      </c>
      <c r="AZ50" s="80">
        <v>0.0</v>
      </c>
      <c r="BA50" s="78">
        <f t="shared" si="2"/>
        <v>61.23</v>
      </c>
      <c r="BH50" s="57"/>
      <c r="BI50" s="79">
        <v>1.48</v>
      </c>
      <c r="BJ50" s="77">
        <v>11.82</v>
      </c>
      <c r="BK50" s="81">
        <v>0.0</v>
      </c>
      <c r="BL50" s="80">
        <v>0.0</v>
      </c>
      <c r="BM50" s="82">
        <v>9.08</v>
      </c>
      <c r="BS50" s="98">
        <v>27.87</v>
      </c>
      <c r="BT50" s="72">
        <v>6.22</v>
      </c>
      <c r="BU50" s="72">
        <v>10.41</v>
      </c>
      <c r="BV50" s="75">
        <v>0.0</v>
      </c>
      <c r="BW50" s="72">
        <v>0.62</v>
      </c>
      <c r="BX50" s="75">
        <v>0.0</v>
      </c>
      <c r="BY50" s="72">
        <v>0.31</v>
      </c>
      <c r="BZ50" s="72">
        <v>15.8</v>
      </c>
      <c r="CA50" s="83">
        <f t="shared" si="1"/>
        <v>61.23</v>
      </c>
      <c r="CJ50" s="84">
        <v>48.0</v>
      </c>
      <c r="CK50" s="64"/>
      <c r="CL50" s="85">
        <v>1.0</v>
      </c>
      <c r="CM50" s="86">
        <v>0.0</v>
      </c>
      <c r="CN50" s="85">
        <v>5.0</v>
      </c>
      <c r="CO50" s="86">
        <v>0.0</v>
      </c>
      <c r="CP50" s="85">
        <v>0.0</v>
      </c>
      <c r="CQ50" s="86">
        <v>0.0</v>
      </c>
      <c r="CR50" s="85">
        <v>0.0</v>
      </c>
      <c r="CS50" s="87">
        <v>0.0</v>
      </c>
      <c r="CT50" s="41"/>
      <c r="CU50" s="41"/>
      <c r="CV50" s="53"/>
      <c r="CW50" s="88">
        <v>1.0</v>
      </c>
      <c r="CX50" s="85">
        <v>4.0</v>
      </c>
      <c r="CY50" s="86">
        <v>1.0</v>
      </c>
      <c r="CZ50" s="85">
        <v>0.0</v>
      </c>
      <c r="DA50" s="41"/>
      <c r="DB50" s="41"/>
      <c r="DC50" s="53"/>
      <c r="DD50" s="88">
        <v>1.0</v>
      </c>
      <c r="DE50" s="85">
        <v>4.0</v>
      </c>
      <c r="DF50" s="87">
        <v>1.0</v>
      </c>
    </row>
    <row r="51" ht="12.0" customHeight="1">
      <c r="E51" s="70">
        <v>49.0</v>
      </c>
      <c r="F51" s="71" t="s">
        <v>136</v>
      </c>
      <c r="G51" s="70" t="s">
        <v>137</v>
      </c>
      <c r="H51" s="70">
        <v>6.0</v>
      </c>
      <c r="J51" s="72">
        <v>49.0</v>
      </c>
      <c r="K51" s="73" t="s">
        <v>136</v>
      </c>
      <c r="L51" s="72">
        <v>18.11</v>
      </c>
      <c r="M51" s="75" t="s">
        <v>34</v>
      </c>
      <c r="N51" s="98">
        <v>33.91</v>
      </c>
      <c r="O51" s="72">
        <v>2.43</v>
      </c>
      <c r="P51" s="72">
        <v>6.21</v>
      </c>
      <c r="Q51" s="72">
        <v>0.6</v>
      </c>
      <c r="R51" s="72">
        <v>1.68</v>
      </c>
      <c r="S51" s="72">
        <v>15.08</v>
      </c>
      <c r="T51" s="75" t="s">
        <v>34</v>
      </c>
      <c r="U51" s="75" t="s">
        <v>34</v>
      </c>
      <c r="V51" s="72">
        <v>0.11</v>
      </c>
      <c r="W51" s="75" t="s">
        <v>34</v>
      </c>
      <c r="X51" s="72">
        <v>0.97</v>
      </c>
      <c r="Y51" s="75" t="s">
        <v>34</v>
      </c>
      <c r="Z51" s="72" t="s">
        <v>138</v>
      </c>
      <c r="AA51" s="4">
        <v>44.76</v>
      </c>
      <c r="AC51" s="72">
        <v>49.0</v>
      </c>
      <c r="AD51" s="73" t="s">
        <v>136</v>
      </c>
      <c r="AE51" s="72">
        <v>1.0</v>
      </c>
      <c r="AF51" s="75" t="s">
        <v>34</v>
      </c>
      <c r="AG51" s="98">
        <v>3.0</v>
      </c>
      <c r="AH51" s="72">
        <v>0.0</v>
      </c>
      <c r="AI51" s="72">
        <v>0.0</v>
      </c>
      <c r="AJ51" s="72">
        <v>0.0</v>
      </c>
      <c r="AK51" s="72">
        <v>0.0</v>
      </c>
      <c r="AL51" s="72">
        <v>1.0</v>
      </c>
      <c r="AM51" s="75" t="s">
        <v>34</v>
      </c>
      <c r="AN51" s="75" t="s">
        <v>34</v>
      </c>
      <c r="AO51" s="72">
        <v>0.0</v>
      </c>
      <c r="AP51" s="75" t="s">
        <v>34</v>
      </c>
      <c r="AQ51" s="72">
        <v>0.0</v>
      </c>
      <c r="AR51" s="75" t="s">
        <v>34</v>
      </c>
      <c r="AS51" s="72" t="s">
        <v>139</v>
      </c>
      <c r="AT51" s="4">
        <v>6.0</v>
      </c>
      <c r="AX51" s="53"/>
      <c r="AY51" s="90">
        <v>18.11</v>
      </c>
      <c r="AZ51" s="80">
        <v>0.0</v>
      </c>
      <c r="BA51" s="78">
        <f t="shared" si="2"/>
        <v>44.23</v>
      </c>
      <c r="BH51" s="57"/>
      <c r="BI51" s="79">
        <v>1.68</v>
      </c>
      <c r="BJ51" s="77">
        <v>15.08</v>
      </c>
      <c r="BK51" s="81">
        <v>0.0</v>
      </c>
      <c r="BL51" s="80">
        <v>0.0</v>
      </c>
      <c r="BM51" s="82" t="s">
        <v>140</v>
      </c>
      <c r="BS51" s="98">
        <v>33.91</v>
      </c>
      <c r="BT51" s="72">
        <v>2.43</v>
      </c>
      <c r="BU51" s="72">
        <v>6.21</v>
      </c>
      <c r="BV51" s="72">
        <v>0.6</v>
      </c>
      <c r="BW51" s="75">
        <v>0.0</v>
      </c>
      <c r="BX51" s="75">
        <v>0.0</v>
      </c>
      <c r="BY51" s="72">
        <v>0.11</v>
      </c>
      <c r="BZ51" s="72">
        <v>0.97</v>
      </c>
      <c r="CA51" s="83">
        <f t="shared" si="1"/>
        <v>44.23</v>
      </c>
      <c r="CJ51" s="84">
        <v>49.0</v>
      </c>
      <c r="CK51" s="64"/>
      <c r="CL51" s="85">
        <v>1.0</v>
      </c>
      <c r="CM51" s="86">
        <v>0.0</v>
      </c>
      <c r="CN51" s="85">
        <v>3.0</v>
      </c>
      <c r="CO51" s="86">
        <v>0.0</v>
      </c>
      <c r="CP51" s="85">
        <v>1.0</v>
      </c>
      <c r="CQ51" s="86">
        <v>0.0</v>
      </c>
      <c r="CR51" s="85">
        <v>0.0</v>
      </c>
      <c r="CS51" s="87">
        <v>1.0</v>
      </c>
      <c r="CT51" s="41"/>
      <c r="CU51" s="41"/>
      <c r="CV51" s="53"/>
      <c r="CW51" s="88">
        <v>1.0</v>
      </c>
      <c r="CX51" s="85">
        <v>4.0</v>
      </c>
      <c r="CY51" s="86">
        <v>1.0</v>
      </c>
      <c r="CZ51" s="85">
        <v>0.0</v>
      </c>
      <c r="DA51" s="41"/>
      <c r="DB51" s="41"/>
      <c r="DC51" s="53"/>
      <c r="DD51" s="88">
        <v>1.0</v>
      </c>
      <c r="DE51" s="85">
        <v>4.0</v>
      </c>
      <c r="DF51" s="87">
        <v>1.0</v>
      </c>
    </row>
    <row r="52" ht="12.0" customHeight="1">
      <c r="E52" s="70">
        <v>50.0</v>
      </c>
      <c r="F52" s="71" t="s">
        <v>141</v>
      </c>
      <c r="G52" s="70" t="s">
        <v>142</v>
      </c>
      <c r="H52" s="70">
        <v>4.0</v>
      </c>
      <c r="J52" s="72">
        <v>50.0</v>
      </c>
      <c r="K52" s="73" t="s">
        <v>141</v>
      </c>
      <c r="L52" s="74">
        <v>42.88</v>
      </c>
      <c r="M52" s="75" t="s">
        <v>34</v>
      </c>
      <c r="N52" s="72">
        <v>0.31</v>
      </c>
      <c r="O52" s="75" t="s">
        <v>34</v>
      </c>
      <c r="P52" s="72">
        <v>17.87</v>
      </c>
      <c r="Q52" s="75" t="s">
        <v>34</v>
      </c>
      <c r="R52" s="75" t="s">
        <v>34</v>
      </c>
      <c r="S52" s="72">
        <v>30.95</v>
      </c>
      <c r="T52" s="72">
        <v>0.42</v>
      </c>
      <c r="U52" s="75" t="s">
        <v>34</v>
      </c>
      <c r="V52" s="72">
        <v>4.47</v>
      </c>
      <c r="W52" s="75" t="s">
        <v>34</v>
      </c>
      <c r="X52" s="75" t="s">
        <v>34</v>
      </c>
      <c r="Y52" s="75" t="s">
        <v>34</v>
      </c>
      <c r="Z52" s="72">
        <v>3.1</v>
      </c>
      <c r="AA52" s="4">
        <v>57.14</v>
      </c>
      <c r="AC52" s="72">
        <v>50.0</v>
      </c>
      <c r="AD52" s="73" t="s">
        <v>141</v>
      </c>
      <c r="AE52" s="74">
        <v>2.0</v>
      </c>
      <c r="AF52" s="75" t="s">
        <v>34</v>
      </c>
      <c r="AG52" s="72">
        <v>0.0</v>
      </c>
      <c r="AH52" s="75" t="s">
        <v>34</v>
      </c>
      <c r="AI52" s="72">
        <v>1.0</v>
      </c>
      <c r="AJ52" s="75" t="s">
        <v>34</v>
      </c>
      <c r="AK52" s="75" t="s">
        <v>34</v>
      </c>
      <c r="AL52" s="72">
        <v>1.0</v>
      </c>
      <c r="AM52" s="72">
        <v>0.0</v>
      </c>
      <c r="AN52" s="75" t="s">
        <v>34</v>
      </c>
      <c r="AO52" s="72">
        <v>0.0</v>
      </c>
      <c r="AP52" s="75" t="s">
        <v>34</v>
      </c>
      <c r="AQ52" s="75" t="s">
        <v>34</v>
      </c>
      <c r="AR52" s="75" t="s">
        <v>34</v>
      </c>
      <c r="AS52" s="72">
        <v>0.0</v>
      </c>
      <c r="AT52" s="4">
        <v>4.0</v>
      </c>
      <c r="AX52" s="53"/>
      <c r="AY52" s="76">
        <v>42.88</v>
      </c>
      <c r="AZ52" s="80">
        <v>0.0</v>
      </c>
      <c r="BA52" s="78">
        <f t="shared" si="2"/>
        <v>23.07</v>
      </c>
      <c r="BH52" s="57"/>
      <c r="BI52" s="81">
        <v>0.0</v>
      </c>
      <c r="BJ52" s="77">
        <v>30.95</v>
      </c>
      <c r="BK52" s="81">
        <v>0.0</v>
      </c>
      <c r="BL52" s="80">
        <v>0.0</v>
      </c>
      <c r="BM52" s="82">
        <v>3.1</v>
      </c>
      <c r="BS52" s="72">
        <v>0.31</v>
      </c>
      <c r="BT52" s="75">
        <v>0.0</v>
      </c>
      <c r="BU52" s="72">
        <v>17.87</v>
      </c>
      <c r="BV52" s="75">
        <v>0.0</v>
      </c>
      <c r="BW52" s="72">
        <v>0.42</v>
      </c>
      <c r="BX52" s="75">
        <v>0.0</v>
      </c>
      <c r="BY52" s="72">
        <v>4.47</v>
      </c>
      <c r="BZ52" s="75">
        <v>0.0</v>
      </c>
      <c r="CA52" s="83">
        <f t="shared" si="1"/>
        <v>23.07</v>
      </c>
      <c r="CJ52" s="84">
        <v>50.0</v>
      </c>
      <c r="CK52" s="64"/>
      <c r="CL52" s="85">
        <v>2.0</v>
      </c>
      <c r="CM52" s="86">
        <v>0.0</v>
      </c>
      <c r="CN52" s="85">
        <v>1.0</v>
      </c>
      <c r="CO52" s="86">
        <v>0.0</v>
      </c>
      <c r="CP52" s="85">
        <v>1.0</v>
      </c>
      <c r="CQ52" s="86">
        <v>0.0</v>
      </c>
      <c r="CR52" s="85">
        <v>0.0</v>
      </c>
      <c r="CS52" s="87">
        <v>0.0</v>
      </c>
      <c r="CT52" s="41"/>
      <c r="CU52" s="41"/>
      <c r="CV52" s="53"/>
      <c r="CW52" s="88">
        <v>2.0</v>
      </c>
      <c r="CX52" s="85">
        <v>1.0</v>
      </c>
      <c r="CY52" s="86">
        <v>1.0</v>
      </c>
      <c r="CZ52" s="85">
        <v>0.0</v>
      </c>
      <c r="DA52" s="41"/>
      <c r="DB52" s="41"/>
      <c r="DC52" s="53"/>
      <c r="DD52" s="88">
        <v>2.0</v>
      </c>
      <c r="DE52" s="85">
        <v>1.0</v>
      </c>
      <c r="DF52" s="87">
        <v>1.0</v>
      </c>
    </row>
    <row r="53" ht="12.0" customHeight="1">
      <c r="E53" s="70">
        <v>51.0</v>
      </c>
      <c r="F53" s="71" t="s">
        <v>143</v>
      </c>
      <c r="G53" s="71" t="s">
        <v>144</v>
      </c>
      <c r="H53" s="70">
        <v>7.0</v>
      </c>
      <c r="J53" s="72">
        <v>51.0</v>
      </c>
      <c r="K53" s="73" t="s">
        <v>143</v>
      </c>
      <c r="L53" s="72">
        <v>15.41</v>
      </c>
      <c r="M53" s="75" t="s">
        <v>34</v>
      </c>
      <c r="N53" s="98">
        <v>42.59</v>
      </c>
      <c r="O53" s="72">
        <v>0.53</v>
      </c>
      <c r="P53" s="72">
        <v>10.01</v>
      </c>
      <c r="Q53" s="75" t="s">
        <v>34</v>
      </c>
      <c r="R53" s="72">
        <v>5.54</v>
      </c>
      <c r="S53" s="72">
        <v>17.71</v>
      </c>
      <c r="T53" s="72">
        <v>0.04</v>
      </c>
      <c r="U53" s="75" t="s">
        <v>34</v>
      </c>
      <c r="V53" s="72">
        <v>1.45</v>
      </c>
      <c r="W53" s="75" t="s">
        <v>34</v>
      </c>
      <c r="X53" s="72">
        <v>1.09</v>
      </c>
      <c r="Y53" s="75" t="s">
        <v>34</v>
      </c>
      <c r="Z53" s="72">
        <v>5.63</v>
      </c>
      <c r="AA53" s="4">
        <v>35.2</v>
      </c>
      <c r="AC53" s="72">
        <v>51.0</v>
      </c>
      <c r="AD53" s="73" t="s">
        <v>143</v>
      </c>
      <c r="AE53" s="72">
        <v>1.0</v>
      </c>
      <c r="AF53" s="75" t="s">
        <v>34</v>
      </c>
      <c r="AG53" s="98">
        <v>4.0</v>
      </c>
      <c r="AH53" s="72">
        <v>0.0</v>
      </c>
      <c r="AI53" s="72">
        <v>1.0</v>
      </c>
      <c r="AJ53" s="75" t="s">
        <v>34</v>
      </c>
      <c r="AK53" s="72">
        <v>0.0</v>
      </c>
      <c r="AL53" s="72">
        <v>1.0</v>
      </c>
      <c r="AM53" s="72">
        <v>0.0</v>
      </c>
      <c r="AN53" s="75" t="s">
        <v>34</v>
      </c>
      <c r="AO53" s="72">
        <v>0.0</v>
      </c>
      <c r="AP53" s="75" t="s">
        <v>34</v>
      </c>
      <c r="AQ53" s="72">
        <v>0.0</v>
      </c>
      <c r="AR53" s="75" t="s">
        <v>34</v>
      </c>
      <c r="AS53" s="72">
        <v>0.0</v>
      </c>
      <c r="AT53" s="4">
        <v>7.0</v>
      </c>
      <c r="AX53" s="53"/>
      <c r="AY53" s="90">
        <v>15.41</v>
      </c>
      <c r="AZ53" s="80">
        <v>0.0</v>
      </c>
      <c r="BA53" s="78">
        <f t="shared" si="2"/>
        <v>55.71</v>
      </c>
      <c r="BH53" s="57"/>
      <c r="BI53" s="79">
        <v>5.54</v>
      </c>
      <c r="BJ53" s="77">
        <v>17.71</v>
      </c>
      <c r="BK53" s="81">
        <v>0.0</v>
      </c>
      <c r="BL53" s="80">
        <v>0.0</v>
      </c>
      <c r="BM53" s="82">
        <v>5.63</v>
      </c>
      <c r="BS53" s="98">
        <v>42.59</v>
      </c>
      <c r="BT53" s="72">
        <v>0.53</v>
      </c>
      <c r="BU53" s="72">
        <v>10.01</v>
      </c>
      <c r="BV53" s="75">
        <v>0.0</v>
      </c>
      <c r="BW53" s="72">
        <v>0.04</v>
      </c>
      <c r="BX53" s="75">
        <v>0.0</v>
      </c>
      <c r="BY53" s="72">
        <v>1.45</v>
      </c>
      <c r="BZ53" s="72">
        <v>1.09</v>
      </c>
      <c r="CA53" s="83">
        <f t="shared" si="1"/>
        <v>55.71</v>
      </c>
      <c r="CJ53" s="84">
        <v>51.0</v>
      </c>
      <c r="CK53" s="64"/>
      <c r="CL53" s="85">
        <v>1.0</v>
      </c>
      <c r="CM53" s="86">
        <v>0.0</v>
      </c>
      <c r="CN53" s="85">
        <v>5.0</v>
      </c>
      <c r="CO53" s="86">
        <v>0.0</v>
      </c>
      <c r="CP53" s="85">
        <v>1.0</v>
      </c>
      <c r="CQ53" s="86">
        <v>0.0</v>
      </c>
      <c r="CR53" s="85">
        <v>0.0</v>
      </c>
      <c r="CS53" s="87">
        <v>0.0</v>
      </c>
      <c r="CT53" s="41"/>
      <c r="CU53" s="41"/>
      <c r="CV53" s="53"/>
      <c r="CW53" s="88">
        <v>1.0</v>
      </c>
      <c r="CX53" s="85">
        <v>4.0</v>
      </c>
      <c r="CY53" s="86">
        <v>2.0</v>
      </c>
      <c r="CZ53" s="85">
        <v>0.0</v>
      </c>
      <c r="DA53" s="41"/>
      <c r="DB53" s="41"/>
      <c r="DC53" s="53"/>
      <c r="DD53" s="88">
        <v>1.0</v>
      </c>
      <c r="DE53" s="85">
        <v>4.0</v>
      </c>
      <c r="DF53" s="87">
        <v>2.0</v>
      </c>
    </row>
    <row r="54" ht="12.0" customHeight="1">
      <c r="E54" s="70">
        <v>52.0</v>
      </c>
      <c r="F54" s="71" t="s">
        <v>145</v>
      </c>
      <c r="G54" s="70" t="s">
        <v>146</v>
      </c>
      <c r="H54" s="70">
        <v>6.0</v>
      </c>
      <c r="J54" s="72">
        <v>52.0</v>
      </c>
      <c r="K54" s="73" t="s">
        <v>145</v>
      </c>
      <c r="L54" s="72">
        <v>20.7</v>
      </c>
      <c r="M54" s="75" t="s">
        <v>34</v>
      </c>
      <c r="N54" s="72">
        <v>15.53</v>
      </c>
      <c r="O54" s="75" t="s">
        <v>34</v>
      </c>
      <c r="P54" s="72">
        <v>19.99</v>
      </c>
      <c r="Q54" s="75" t="s">
        <v>34</v>
      </c>
      <c r="R54" s="75" t="s">
        <v>34</v>
      </c>
      <c r="S54" s="106">
        <v>25.4</v>
      </c>
      <c r="T54" s="75" t="s">
        <v>34</v>
      </c>
      <c r="U54" s="75" t="s">
        <v>34</v>
      </c>
      <c r="V54" s="72">
        <v>0.37</v>
      </c>
      <c r="W54" s="75" t="s">
        <v>34</v>
      </c>
      <c r="X54" s="75" t="s">
        <v>34</v>
      </c>
      <c r="Y54" s="75" t="s">
        <v>34</v>
      </c>
      <c r="Z54" s="72" t="s">
        <v>147</v>
      </c>
      <c r="AA54" s="4">
        <v>39.73</v>
      </c>
      <c r="AC54" s="72">
        <v>52.0</v>
      </c>
      <c r="AD54" s="73" t="s">
        <v>145</v>
      </c>
      <c r="AE54" s="72">
        <v>1.0</v>
      </c>
      <c r="AF54" s="75" t="s">
        <v>34</v>
      </c>
      <c r="AG54" s="72">
        <v>1.0</v>
      </c>
      <c r="AH54" s="75" t="s">
        <v>34</v>
      </c>
      <c r="AI54" s="72">
        <v>1.0</v>
      </c>
      <c r="AJ54" s="75" t="s">
        <v>34</v>
      </c>
      <c r="AK54" s="75" t="s">
        <v>34</v>
      </c>
      <c r="AL54" s="106">
        <v>2.0</v>
      </c>
      <c r="AM54" s="75" t="s">
        <v>34</v>
      </c>
      <c r="AN54" s="75" t="s">
        <v>34</v>
      </c>
      <c r="AO54" s="72">
        <v>0.0</v>
      </c>
      <c r="AP54" s="75" t="s">
        <v>34</v>
      </c>
      <c r="AQ54" s="75" t="s">
        <v>34</v>
      </c>
      <c r="AR54" s="75" t="s">
        <v>34</v>
      </c>
      <c r="AS54" s="72" t="s">
        <v>148</v>
      </c>
      <c r="AT54" s="4">
        <v>6.0</v>
      </c>
      <c r="AX54" s="53"/>
      <c r="AY54" s="90">
        <v>20.7</v>
      </c>
      <c r="AZ54" s="80">
        <v>0.0</v>
      </c>
      <c r="BA54" s="78">
        <f t="shared" si="2"/>
        <v>35.89</v>
      </c>
      <c r="BH54" s="57"/>
      <c r="BI54" s="81">
        <v>0.0</v>
      </c>
      <c r="BJ54" s="107">
        <v>25.4</v>
      </c>
      <c r="BK54" s="81">
        <v>0.0</v>
      </c>
      <c r="BL54" s="80">
        <v>0.0</v>
      </c>
      <c r="BM54" s="82" t="s">
        <v>149</v>
      </c>
      <c r="BS54" s="72">
        <v>15.53</v>
      </c>
      <c r="BT54" s="75">
        <v>0.0</v>
      </c>
      <c r="BU54" s="72">
        <v>19.99</v>
      </c>
      <c r="BV54" s="75">
        <v>0.0</v>
      </c>
      <c r="BW54" s="75">
        <v>0.0</v>
      </c>
      <c r="BX54" s="75">
        <v>0.0</v>
      </c>
      <c r="BY54" s="72">
        <v>0.37</v>
      </c>
      <c r="BZ54" s="75">
        <v>0.0</v>
      </c>
      <c r="CA54" s="83">
        <f t="shared" si="1"/>
        <v>35.89</v>
      </c>
      <c r="CJ54" s="84">
        <v>52.0</v>
      </c>
      <c r="CK54" s="64"/>
      <c r="CL54" s="85">
        <v>1.0</v>
      </c>
      <c r="CM54" s="86">
        <v>0.0</v>
      </c>
      <c r="CN54" s="85">
        <v>2.0</v>
      </c>
      <c r="CO54" s="86">
        <v>0.0</v>
      </c>
      <c r="CP54" s="85">
        <v>2.0</v>
      </c>
      <c r="CQ54" s="86">
        <v>0.0</v>
      </c>
      <c r="CR54" s="85">
        <v>0.0</v>
      </c>
      <c r="CS54" s="87">
        <v>1.0</v>
      </c>
      <c r="CT54" s="41"/>
      <c r="CU54" s="41"/>
      <c r="CV54" s="53"/>
      <c r="CW54" s="88">
        <v>1.0</v>
      </c>
      <c r="CX54" s="85">
        <v>3.0</v>
      </c>
      <c r="CY54" s="86">
        <v>2.0</v>
      </c>
      <c r="CZ54" s="85">
        <v>0.0</v>
      </c>
      <c r="DA54" s="41"/>
      <c r="DB54" s="41"/>
      <c r="DC54" s="53"/>
      <c r="DD54" s="88">
        <v>1.0</v>
      </c>
      <c r="DE54" s="85">
        <v>3.0</v>
      </c>
      <c r="DF54" s="87">
        <v>2.0</v>
      </c>
    </row>
    <row r="55" ht="12.0" customHeight="1">
      <c r="E55" s="70">
        <v>53.0</v>
      </c>
      <c r="F55" s="71" t="s">
        <v>150</v>
      </c>
      <c r="G55" s="70" t="s">
        <v>151</v>
      </c>
      <c r="H55" s="70">
        <v>9.0</v>
      </c>
      <c r="J55" s="72">
        <v>53.0</v>
      </c>
      <c r="K55" s="73" t="s">
        <v>150</v>
      </c>
      <c r="L55" s="72">
        <v>20.45</v>
      </c>
      <c r="M55" s="75" t="s">
        <v>34</v>
      </c>
      <c r="N55" s="72">
        <v>13.82</v>
      </c>
      <c r="O55" s="72">
        <v>0.45</v>
      </c>
      <c r="P55" s="72">
        <v>6.69</v>
      </c>
      <c r="Q55" s="75" t="s">
        <v>34</v>
      </c>
      <c r="R55" s="75" t="s">
        <v>34</v>
      </c>
      <c r="S55" s="72">
        <v>22.42</v>
      </c>
      <c r="T55" s="72">
        <v>0.11</v>
      </c>
      <c r="U55" s="75" t="s">
        <v>34</v>
      </c>
      <c r="V55" s="72">
        <v>3.16</v>
      </c>
      <c r="W55" s="75" t="s">
        <v>34</v>
      </c>
      <c r="X55" s="75" t="s">
        <v>34</v>
      </c>
      <c r="Y55" s="75" t="s">
        <v>34</v>
      </c>
      <c r="Z55" s="108" t="s">
        <v>152</v>
      </c>
      <c r="AA55" s="4">
        <v>31.39</v>
      </c>
      <c r="AC55" s="72">
        <v>53.0</v>
      </c>
      <c r="AD55" s="73" t="s">
        <v>150</v>
      </c>
      <c r="AE55" s="72">
        <v>2.0</v>
      </c>
      <c r="AF55" s="75" t="s">
        <v>34</v>
      </c>
      <c r="AG55" s="72">
        <v>1.0</v>
      </c>
      <c r="AH55" s="72">
        <v>0.0</v>
      </c>
      <c r="AI55" s="72">
        <v>0.0</v>
      </c>
      <c r="AJ55" s="75" t="s">
        <v>34</v>
      </c>
      <c r="AK55" s="75" t="s">
        <v>34</v>
      </c>
      <c r="AL55" s="106">
        <v>3.0</v>
      </c>
      <c r="AM55" s="72">
        <v>0.0</v>
      </c>
      <c r="AN55" s="75" t="s">
        <v>34</v>
      </c>
      <c r="AO55" s="72">
        <v>0.0</v>
      </c>
      <c r="AP55" s="75" t="s">
        <v>34</v>
      </c>
      <c r="AQ55" s="75" t="s">
        <v>34</v>
      </c>
      <c r="AR55" s="75" t="s">
        <v>34</v>
      </c>
      <c r="AS55" s="108" t="s">
        <v>153</v>
      </c>
      <c r="AT55" s="4">
        <v>9.0</v>
      </c>
      <c r="AX55" s="53"/>
      <c r="AY55" s="90">
        <v>20.45</v>
      </c>
      <c r="AZ55" s="80">
        <v>0.0</v>
      </c>
      <c r="BA55" s="78">
        <f t="shared" si="2"/>
        <v>24.23</v>
      </c>
      <c r="BH55" s="57"/>
      <c r="BI55" s="81">
        <v>0.0</v>
      </c>
      <c r="BJ55" s="77">
        <v>22.42</v>
      </c>
      <c r="BK55" s="81">
        <v>0.0</v>
      </c>
      <c r="BL55" s="80">
        <v>0.0</v>
      </c>
      <c r="BM55" s="109" t="s">
        <v>154</v>
      </c>
      <c r="BS55" s="72">
        <v>13.82</v>
      </c>
      <c r="BT55" s="72">
        <v>0.45</v>
      </c>
      <c r="BU55" s="72">
        <v>6.69</v>
      </c>
      <c r="BV55" s="75">
        <v>0.0</v>
      </c>
      <c r="BW55" s="72">
        <v>0.11</v>
      </c>
      <c r="BX55" s="75">
        <v>0.0</v>
      </c>
      <c r="BY55" s="72">
        <v>3.16</v>
      </c>
      <c r="BZ55" s="75">
        <v>0.0</v>
      </c>
      <c r="CA55" s="83">
        <f t="shared" si="1"/>
        <v>24.23</v>
      </c>
      <c r="CJ55" s="84">
        <v>53.0</v>
      </c>
      <c r="CK55" s="64"/>
      <c r="CL55" s="85">
        <v>2.0</v>
      </c>
      <c r="CM55" s="86">
        <v>0.0</v>
      </c>
      <c r="CN55" s="85">
        <v>2.0</v>
      </c>
      <c r="CO55" s="86">
        <v>0.0</v>
      </c>
      <c r="CP55" s="85">
        <v>2.0</v>
      </c>
      <c r="CQ55" s="86">
        <v>0.0</v>
      </c>
      <c r="CR55" s="85">
        <v>0.0</v>
      </c>
      <c r="CS55" s="87">
        <v>3.0</v>
      </c>
      <c r="CT55" s="41"/>
      <c r="CU55" s="41"/>
      <c r="CV55" s="53"/>
      <c r="CW55" s="88">
        <v>3.0</v>
      </c>
      <c r="CX55" s="85">
        <v>3.0</v>
      </c>
      <c r="CY55" s="86">
        <v>3.0</v>
      </c>
      <c r="CZ55" s="85">
        <v>0.0</v>
      </c>
      <c r="DA55" s="41"/>
      <c r="DB55" s="41"/>
      <c r="DC55" s="53"/>
      <c r="DD55" s="88">
        <v>3.0</v>
      </c>
      <c r="DE55" s="85">
        <v>3.0</v>
      </c>
      <c r="DF55" s="87">
        <v>3.0</v>
      </c>
    </row>
    <row r="56" ht="12.0" customHeight="1">
      <c r="E56" s="70">
        <v>54.0</v>
      </c>
      <c r="F56" s="71" t="s">
        <v>155</v>
      </c>
      <c r="G56" s="70" t="s">
        <v>156</v>
      </c>
      <c r="H56" s="70">
        <v>10.0</v>
      </c>
      <c r="J56" s="72">
        <v>54.0</v>
      </c>
      <c r="K56" s="73" t="s">
        <v>155</v>
      </c>
      <c r="L56" s="72">
        <v>23.78</v>
      </c>
      <c r="M56" s="75" t="s">
        <v>34</v>
      </c>
      <c r="N56" s="98">
        <v>43.61</v>
      </c>
      <c r="O56" s="72">
        <v>0.63</v>
      </c>
      <c r="P56" s="72">
        <v>2.02</v>
      </c>
      <c r="Q56" s="75" t="s">
        <v>34</v>
      </c>
      <c r="R56" s="75" t="s">
        <v>34</v>
      </c>
      <c r="S56" s="72">
        <v>18.14</v>
      </c>
      <c r="T56" s="72">
        <v>0.14</v>
      </c>
      <c r="U56" s="72">
        <v>0.01</v>
      </c>
      <c r="V56" s="72">
        <v>0.62</v>
      </c>
      <c r="W56" s="75" t="s">
        <v>34</v>
      </c>
      <c r="X56" s="72">
        <v>0.92</v>
      </c>
      <c r="Y56" s="75" t="s">
        <v>34</v>
      </c>
      <c r="Z56" s="72">
        <v>10.13</v>
      </c>
      <c r="AA56" s="4">
        <v>34.66</v>
      </c>
      <c r="AC56" s="72">
        <v>54.0</v>
      </c>
      <c r="AD56" s="73" t="s">
        <v>155</v>
      </c>
      <c r="AE56" s="72">
        <v>3.0</v>
      </c>
      <c r="AF56" s="75" t="s">
        <v>34</v>
      </c>
      <c r="AG56" s="98">
        <v>5.0</v>
      </c>
      <c r="AH56" s="72">
        <v>0.0</v>
      </c>
      <c r="AI56" s="72">
        <v>0.0</v>
      </c>
      <c r="AJ56" s="75" t="s">
        <v>34</v>
      </c>
      <c r="AK56" s="75" t="s">
        <v>34</v>
      </c>
      <c r="AL56" s="72">
        <v>2.0</v>
      </c>
      <c r="AM56" s="72">
        <v>0.0</v>
      </c>
      <c r="AN56" s="72">
        <v>0.0</v>
      </c>
      <c r="AO56" s="72">
        <v>0.0</v>
      </c>
      <c r="AP56" s="75" t="s">
        <v>34</v>
      </c>
      <c r="AQ56" s="72">
        <v>0.0</v>
      </c>
      <c r="AR56" s="75" t="s">
        <v>34</v>
      </c>
      <c r="AS56" s="72">
        <v>0.0</v>
      </c>
      <c r="AT56" s="4">
        <v>10.0</v>
      </c>
      <c r="AX56" s="53"/>
      <c r="AY56" s="90">
        <v>23.78</v>
      </c>
      <c r="AZ56" s="80">
        <v>0.0</v>
      </c>
      <c r="BA56" s="78">
        <f t="shared" si="2"/>
        <v>47.95</v>
      </c>
      <c r="BH56" s="57"/>
      <c r="BI56" s="81">
        <v>0.0</v>
      </c>
      <c r="BJ56" s="77">
        <v>18.14</v>
      </c>
      <c r="BK56" s="81">
        <v>0.0</v>
      </c>
      <c r="BL56" s="80">
        <v>0.0</v>
      </c>
      <c r="BM56" s="82">
        <v>10.13</v>
      </c>
      <c r="BS56" s="98">
        <v>43.61</v>
      </c>
      <c r="BT56" s="72">
        <v>0.63</v>
      </c>
      <c r="BU56" s="72">
        <v>2.02</v>
      </c>
      <c r="BV56" s="75">
        <v>0.0</v>
      </c>
      <c r="BW56" s="72">
        <v>0.14</v>
      </c>
      <c r="BX56" s="72">
        <v>0.01</v>
      </c>
      <c r="BY56" s="72">
        <v>0.62</v>
      </c>
      <c r="BZ56" s="72">
        <v>0.92</v>
      </c>
      <c r="CA56" s="83">
        <f t="shared" si="1"/>
        <v>47.95</v>
      </c>
      <c r="CJ56" s="84">
        <v>54.0</v>
      </c>
      <c r="CK56" s="64"/>
      <c r="CL56" s="85">
        <v>2.0</v>
      </c>
      <c r="CM56" s="86">
        <v>0.0</v>
      </c>
      <c r="CN56" s="85">
        <v>5.0</v>
      </c>
      <c r="CO56" s="86">
        <v>0.0</v>
      </c>
      <c r="CP56" s="85">
        <v>2.0</v>
      </c>
      <c r="CQ56" s="86">
        <v>0.0</v>
      </c>
      <c r="CR56" s="85">
        <v>0.0</v>
      </c>
      <c r="CS56" s="87">
        <v>1.0</v>
      </c>
      <c r="CT56" s="41"/>
      <c r="CU56" s="41"/>
      <c r="CV56" s="53"/>
      <c r="CW56" s="88">
        <v>2.0</v>
      </c>
      <c r="CX56" s="85">
        <v>5.0</v>
      </c>
      <c r="CY56" s="86">
        <v>3.0</v>
      </c>
      <c r="CZ56" s="85">
        <v>0.0</v>
      </c>
      <c r="DA56" s="41"/>
      <c r="DB56" s="41"/>
      <c r="DC56" s="53"/>
      <c r="DD56" s="88">
        <v>2.0</v>
      </c>
      <c r="DE56" s="85">
        <v>5.0</v>
      </c>
      <c r="DF56" s="87">
        <v>3.0</v>
      </c>
    </row>
    <row r="57" ht="12.0" customHeight="1">
      <c r="E57" s="70">
        <v>55.0</v>
      </c>
      <c r="F57" s="71" t="s">
        <v>157</v>
      </c>
      <c r="G57" s="70" t="s">
        <v>158</v>
      </c>
      <c r="H57" s="70">
        <v>9.0</v>
      </c>
      <c r="J57" s="72">
        <v>55.0</v>
      </c>
      <c r="K57" s="73" t="s">
        <v>157</v>
      </c>
      <c r="L57" s="72">
        <v>28.1</v>
      </c>
      <c r="M57" s="75" t="s">
        <v>34</v>
      </c>
      <c r="N57" s="98">
        <v>36.86</v>
      </c>
      <c r="O57" s="72">
        <v>2.66</v>
      </c>
      <c r="P57" s="72">
        <v>2.78</v>
      </c>
      <c r="Q57" s="75" t="s">
        <v>34</v>
      </c>
      <c r="R57" s="75" t="s">
        <v>34</v>
      </c>
      <c r="S57" s="72">
        <v>21.58</v>
      </c>
      <c r="T57" s="75" t="s">
        <v>34</v>
      </c>
      <c r="U57" s="75" t="s">
        <v>34</v>
      </c>
      <c r="V57" s="72">
        <v>0.05</v>
      </c>
      <c r="W57" s="75" t="s">
        <v>34</v>
      </c>
      <c r="X57" s="75" t="s">
        <v>34</v>
      </c>
      <c r="Y57" s="75" t="s">
        <v>34</v>
      </c>
      <c r="Z57" s="72" t="s">
        <v>159</v>
      </c>
      <c r="AA57" s="4">
        <v>33.68</v>
      </c>
      <c r="AC57" s="72">
        <v>55.0</v>
      </c>
      <c r="AD57" s="73" t="s">
        <v>157</v>
      </c>
      <c r="AE57" s="72">
        <v>3.0</v>
      </c>
      <c r="AF57" s="75" t="s">
        <v>34</v>
      </c>
      <c r="AG57" s="98">
        <v>4.0</v>
      </c>
      <c r="AH57" s="72">
        <v>0.0</v>
      </c>
      <c r="AI57" s="72">
        <v>0.0</v>
      </c>
      <c r="AJ57" s="75" t="s">
        <v>34</v>
      </c>
      <c r="AK57" s="75" t="s">
        <v>34</v>
      </c>
      <c r="AL57" s="72">
        <v>2.0</v>
      </c>
      <c r="AM57" s="75" t="s">
        <v>34</v>
      </c>
      <c r="AN57" s="75" t="s">
        <v>34</v>
      </c>
      <c r="AO57" s="72">
        <v>0.0</v>
      </c>
      <c r="AP57" s="75" t="s">
        <v>34</v>
      </c>
      <c r="AQ57" s="75" t="s">
        <v>34</v>
      </c>
      <c r="AR57" s="75" t="s">
        <v>34</v>
      </c>
      <c r="AS57" s="72">
        <v>0.0</v>
      </c>
      <c r="AT57" s="4">
        <v>9.0</v>
      </c>
      <c r="AX57" s="53"/>
      <c r="AY57" s="90">
        <v>28.1</v>
      </c>
      <c r="AZ57" s="80">
        <v>0.0</v>
      </c>
      <c r="BA57" s="78">
        <f t="shared" si="2"/>
        <v>42.35</v>
      </c>
      <c r="BH57" s="57"/>
      <c r="BI57" s="81">
        <v>0.0</v>
      </c>
      <c r="BJ57" s="77">
        <v>21.58</v>
      </c>
      <c r="BK57" s="81">
        <v>0.0</v>
      </c>
      <c r="BL57" s="80">
        <v>0.0</v>
      </c>
      <c r="BM57" s="82" t="s">
        <v>160</v>
      </c>
      <c r="BS57" s="98">
        <v>36.86</v>
      </c>
      <c r="BT57" s="72">
        <v>2.66</v>
      </c>
      <c r="BU57" s="72">
        <v>2.78</v>
      </c>
      <c r="BV57" s="75">
        <v>0.0</v>
      </c>
      <c r="BW57" s="75">
        <v>0.0</v>
      </c>
      <c r="BX57" s="75">
        <v>0.0</v>
      </c>
      <c r="BY57" s="72">
        <v>0.05</v>
      </c>
      <c r="BZ57" s="75">
        <v>0.0</v>
      </c>
      <c r="CA57" s="83">
        <f t="shared" si="1"/>
        <v>42.35</v>
      </c>
      <c r="CJ57" s="84">
        <v>55.0</v>
      </c>
      <c r="CK57" s="64"/>
      <c r="CL57" s="85">
        <v>3.0</v>
      </c>
      <c r="CM57" s="86">
        <v>0.0</v>
      </c>
      <c r="CN57" s="85">
        <v>4.0</v>
      </c>
      <c r="CO57" s="86">
        <v>0.0</v>
      </c>
      <c r="CP57" s="85">
        <v>2.0</v>
      </c>
      <c r="CQ57" s="86">
        <v>0.0</v>
      </c>
      <c r="CR57" s="85">
        <v>0.0</v>
      </c>
      <c r="CS57" s="87">
        <v>0.0</v>
      </c>
      <c r="CT57" s="41"/>
      <c r="CU57" s="41"/>
      <c r="CV57" s="53"/>
      <c r="CW57" s="88">
        <v>3.0</v>
      </c>
      <c r="CX57" s="85">
        <v>4.0</v>
      </c>
      <c r="CY57" s="86">
        <v>2.0</v>
      </c>
      <c r="CZ57" s="85">
        <v>0.0</v>
      </c>
      <c r="DA57" s="41"/>
      <c r="DB57" s="41"/>
      <c r="DC57" s="53"/>
      <c r="DD57" s="88">
        <v>3.0</v>
      </c>
      <c r="DE57" s="85">
        <v>4.0</v>
      </c>
      <c r="DF57" s="87">
        <v>2.0</v>
      </c>
    </row>
    <row r="58" ht="12.0" customHeight="1">
      <c r="E58" s="70">
        <v>56.0</v>
      </c>
      <c r="F58" s="71" t="s">
        <v>161</v>
      </c>
      <c r="G58" s="70" t="s">
        <v>162</v>
      </c>
      <c r="H58" s="70">
        <v>5.0</v>
      </c>
      <c r="J58" s="72">
        <v>56.0</v>
      </c>
      <c r="K58" s="73" t="s">
        <v>161</v>
      </c>
      <c r="L58" s="75" t="s">
        <v>34</v>
      </c>
      <c r="M58" s="89">
        <v>84.48</v>
      </c>
      <c r="N58" s="75" t="s">
        <v>34</v>
      </c>
      <c r="O58" s="72">
        <v>2.76</v>
      </c>
      <c r="P58" s="72">
        <v>2.3</v>
      </c>
      <c r="Q58" s="75" t="s">
        <v>34</v>
      </c>
      <c r="R58" s="72">
        <v>3.24</v>
      </c>
      <c r="S58" s="75" t="s">
        <v>34</v>
      </c>
      <c r="T58" s="75" t="s">
        <v>34</v>
      </c>
      <c r="U58" s="75" t="s">
        <v>34</v>
      </c>
      <c r="V58" s="75" t="s">
        <v>34</v>
      </c>
      <c r="W58" s="75" t="s">
        <v>34</v>
      </c>
      <c r="X58" s="75" t="s">
        <v>34</v>
      </c>
      <c r="Y58" s="72">
        <v>1.05</v>
      </c>
      <c r="Z58" s="72">
        <v>6.17</v>
      </c>
      <c r="AA58" s="4">
        <v>55.4</v>
      </c>
      <c r="AC58" s="72">
        <v>56.0</v>
      </c>
      <c r="AD58" s="73" t="s">
        <v>161</v>
      </c>
      <c r="AE58" s="75" t="s">
        <v>34</v>
      </c>
      <c r="AF58" s="89">
        <v>5.0</v>
      </c>
      <c r="AG58" s="75" t="s">
        <v>34</v>
      </c>
      <c r="AH58" s="72">
        <v>0.0</v>
      </c>
      <c r="AI58" s="72">
        <v>0.0</v>
      </c>
      <c r="AJ58" s="75" t="s">
        <v>34</v>
      </c>
      <c r="AK58" s="72">
        <v>0.0</v>
      </c>
      <c r="AL58" s="75" t="s">
        <v>34</v>
      </c>
      <c r="AM58" s="75" t="s">
        <v>34</v>
      </c>
      <c r="AN58" s="75" t="s">
        <v>34</v>
      </c>
      <c r="AO58" s="75" t="s">
        <v>34</v>
      </c>
      <c r="AP58" s="75" t="s">
        <v>34</v>
      </c>
      <c r="AQ58" s="75" t="s">
        <v>34</v>
      </c>
      <c r="AR58" s="72">
        <v>0.0</v>
      </c>
      <c r="AS58" s="72">
        <v>0.0</v>
      </c>
      <c r="AT58" s="4">
        <v>5.0</v>
      </c>
      <c r="AX58" s="53"/>
      <c r="AY58" s="110">
        <v>0.0</v>
      </c>
      <c r="AZ58" s="91">
        <v>84.48</v>
      </c>
      <c r="BA58" s="78">
        <f t="shared" si="2"/>
        <v>5.06</v>
      </c>
      <c r="BH58" s="57"/>
      <c r="BI58" s="79">
        <v>3.24</v>
      </c>
      <c r="BJ58" s="80">
        <v>0.0</v>
      </c>
      <c r="BK58" s="81">
        <v>0.0</v>
      </c>
      <c r="BL58" s="77">
        <v>1.05</v>
      </c>
      <c r="BM58" s="82">
        <v>6.17</v>
      </c>
      <c r="BS58" s="75">
        <v>0.0</v>
      </c>
      <c r="BT58" s="72">
        <v>2.76</v>
      </c>
      <c r="BU58" s="72">
        <v>2.3</v>
      </c>
      <c r="BV58" s="75">
        <v>0.0</v>
      </c>
      <c r="BW58" s="75">
        <v>0.0</v>
      </c>
      <c r="BX58" s="75">
        <v>0.0</v>
      </c>
      <c r="BY58" s="75">
        <v>0.0</v>
      </c>
      <c r="BZ58" s="75">
        <v>0.0</v>
      </c>
      <c r="CA58" s="83">
        <f t="shared" si="1"/>
        <v>5.06</v>
      </c>
      <c r="CJ58" s="84">
        <v>56.0</v>
      </c>
      <c r="CK58" s="64"/>
      <c r="CL58" s="85">
        <v>0.0</v>
      </c>
      <c r="CM58" s="86">
        <v>5.0</v>
      </c>
      <c r="CN58" s="85">
        <v>0.0</v>
      </c>
      <c r="CO58" s="86">
        <v>0.0</v>
      </c>
      <c r="CP58" s="85">
        <v>0.0</v>
      </c>
      <c r="CQ58" s="86">
        <v>0.0</v>
      </c>
      <c r="CR58" s="85">
        <v>0.0</v>
      </c>
      <c r="CS58" s="87">
        <v>0.0</v>
      </c>
      <c r="CT58" s="41"/>
      <c r="CU58" s="41"/>
      <c r="CV58" s="53"/>
      <c r="CW58" s="88">
        <v>0.0</v>
      </c>
      <c r="CX58" s="85">
        <v>0.0</v>
      </c>
      <c r="CY58" s="86">
        <v>5.0</v>
      </c>
      <c r="CZ58" s="85">
        <v>0.0</v>
      </c>
      <c r="DA58" s="41"/>
      <c r="DB58" s="41"/>
      <c r="DC58" s="53"/>
      <c r="DD58" s="88">
        <v>0.0</v>
      </c>
      <c r="DE58" s="85">
        <v>0.0</v>
      </c>
      <c r="DF58" s="87">
        <v>5.0</v>
      </c>
    </row>
    <row r="59" ht="12.0" customHeight="1">
      <c r="E59" s="70">
        <v>57.0</v>
      </c>
      <c r="F59" s="71" t="s">
        <v>163</v>
      </c>
      <c r="G59" s="70" t="s">
        <v>164</v>
      </c>
      <c r="H59" s="70">
        <v>6.0</v>
      </c>
      <c r="J59" s="72">
        <v>57.0</v>
      </c>
      <c r="K59" s="73" t="s">
        <v>163</v>
      </c>
      <c r="L59" s="72">
        <v>5.02</v>
      </c>
      <c r="M59" s="89">
        <v>66.3</v>
      </c>
      <c r="N59" s="75" t="s">
        <v>34</v>
      </c>
      <c r="O59" s="72">
        <v>3.76</v>
      </c>
      <c r="P59" s="72">
        <v>1.24</v>
      </c>
      <c r="Q59" s="75" t="s">
        <v>34</v>
      </c>
      <c r="R59" s="75" t="s">
        <v>34</v>
      </c>
      <c r="S59" s="75" t="s">
        <v>34</v>
      </c>
      <c r="T59" s="75" t="s">
        <v>34</v>
      </c>
      <c r="U59" s="75" t="s">
        <v>34</v>
      </c>
      <c r="V59" s="75" t="s">
        <v>34</v>
      </c>
      <c r="W59" s="75" t="s">
        <v>34</v>
      </c>
      <c r="X59" s="75" t="s">
        <v>34</v>
      </c>
      <c r="Y59" s="72">
        <v>2.61</v>
      </c>
      <c r="Z59" s="72">
        <v>21.07</v>
      </c>
      <c r="AA59" s="4">
        <v>58.69</v>
      </c>
      <c r="AC59" s="72">
        <v>57.0</v>
      </c>
      <c r="AD59" s="73" t="s">
        <v>163</v>
      </c>
      <c r="AE59" s="72">
        <v>0.0</v>
      </c>
      <c r="AF59" s="89">
        <v>6.0</v>
      </c>
      <c r="AG59" s="75" t="s">
        <v>34</v>
      </c>
      <c r="AH59" s="72">
        <v>0.0</v>
      </c>
      <c r="AI59" s="72">
        <v>0.0</v>
      </c>
      <c r="AJ59" s="75" t="s">
        <v>34</v>
      </c>
      <c r="AK59" s="75" t="s">
        <v>34</v>
      </c>
      <c r="AL59" s="75" t="s">
        <v>34</v>
      </c>
      <c r="AM59" s="75" t="s">
        <v>34</v>
      </c>
      <c r="AN59" s="75" t="s">
        <v>34</v>
      </c>
      <c r="AO59" s="75" t="s">
        <v>34</v>
      </c>
      <c r="AP59" s="75" t="s">
        <v>34</v>
      </c>
      <c r="AQ59" s="75" t="s">
        <v>34</v>
      </c>
      <c r="AR59" s="72">
        <v>0.0</v>
      </c>
      <c r="AS59" s="72">
        <v>0.0</v>
      </c>
      <c r="AT59" s="4">
        <v>6.0</v>
      </c>
      <c r="AX59" s="53"/>
      <c r="AY59" s="90">
        <v>5.02</v>
      </c>
      <c r="AZ59" s="91">
        <v>66.3</v>
      </c>
      <c r="BA59" s="78">
        <f t="shared" si="2"/>
        <v>5</v>
      </c>
      <c r="BH59" s="57"/>
      <c r="BI59" s="81">
        <v>0.0</v>
      </c>
      <c r="BJ59" s="80">
        <v>0.0</v>
      </c>
      <c r="BK59" s="81">
        <v>0.0</v>
      </c>
      <c r="BL59" s="77">
        <v>2.61</v>
      </c>
      <c r="BM59" s="82">
        <v>21.07</v>
      </c>
      <c r="BS59" s="75">
        <v>0.0</v>
      </c>
      <c r="BT59" s="72">
        <v>3.76</v>
      </c>
      <c r="BU59" s="72">
        <v>1.24</v>
      </c>
      <c r="BV59" s="75">
        <v>0.0</v>
      </c>
      <c r="BW59" s="75">
        <v>0.0</v>
      </c>
      <c r="BX59" s="75">
        <v>0.0</v>
      </c>
      <c r="BY59" s="75">
        <v>0.0</v>
      </c>
      <c r="BZ59" s="75">
        <v>0.0</v>
      </c>
      <c r="CA59" s="83">
        <f t="shared" si="1"/>
        <v>5</v>
      </c>
      <c r="CJ59" s="84">
        <v>57.0</v>
      </c>
      <c r="CK59" s="64"/>
      <c r="CL59" s="85">
        <v>0.0</v>
      </c>
      <c r="CM59" s="86">
        <v>5.0</v>
      </c>
      <c r="CN59" s="85">
        <v>0.0</v>
      </c>
      <c r="CO59" s="86">
        <v>0.0</v>
      </c>
      <c r="CP59" s="85">
        <v>0.0</v>
      </c>
      <c r="CQ59" s="86">
        <v>0.0</v>
      </c>
      <c r="CR59" s="85">
        <v>0.0</v>
      </c>
      <c r="CS59" s="86">
        <v>1.0</v>
      </c>
      <c r="CT59" s="56"/>
      <c r="CU59" s="41"/>
      <c r="CV59" s="53"/>
      <c r="CW59" s="86">
        <v>0.0</v>
      </c>
      <c r="CX59" s="85">
        <v>0.0</v>
      </c>
      <c r="CY59" s="86">
        <v>6.0</v>
      </c>
      <c r="CZ59" s="85">
        <v>0.0</v>
      </c>
      <c r="DA59" s="56"/>
      <c r="DB59" s="41"/>
      <c r="DC59" s="53"/>
      <c r="DD59" s="88">
        <v>0.0</v>
      </c>
      <c r="DE59" s="85">
        <v>0.0</v>
      </c>
      <c r="DF59" s="87">
        <v>6.0</v>
      </c>
      <c r="DG59" s="48"/>
    </row>
    <row r="60" ht="12.0" customHeight="1">
      <c r="E60" s="70">
        <v>58.0</v>
      </c>
      <c r="F60" s="71" t="s">
        <v>165</v>
      </c>
      <c r="G60" s="70" t="s">
        <v>166</v>
      </c>
      <c r="H60" s="70">
        <v>5.0</v>
      </c>
      <c r="J60" s="72">
        <v>58.0</v>
      </c>
      <c r="K60" s="73" t="s">
        <v>165</v>
      </c>
      <c r="L60" s="72">
        <v>3.06</v>
      </c>
      <c r="M60" s="89">
        <v>87.47</v>
      </c>
      <c r="N60" s="75" t="s">
        <v>34</v>
      </c>
      <c r="O60" s="72">
        <v>0.73</v>
      </c>
      <c r="P60" s="75" t="s">
        <v>34</v>
      </c>
      <c r="Q60" s="75" t="s">
        <v>34</v>
      </c>
      <c r="R60" s="75" t="s">
        <v>34</v>
      </c>
      <c r="S60" s="75" t="s">
        <v>34</v>
      </c>
      <c r="T60" s="75" t="s">
        <v>34</v>
      </c>
      <c r="U60" s="75" t="s">
        <v>34</v>
      </c>
      <c r="V60" s="75" t="s">
        <v>34</v>
      </c>
      <c r="W60" s="75" t="s">
        <v>34</v>
      </c>
      <c r="X60" s="75" t="s">
        <v>34</v>
      </c>
      <c r="Y60" s="72">
        <v>1.17</v>
      </c>
      <c r="Z60" s="72">
        <v>7.57</v>
      </c>
      <c r="AA60" s="4">
        <v>62.88</v>
      </c>
      <c r="AC60" s="72">
        <v>58.0</v>
      </c>
      <c r="AD60" s="73" t="s">
        <v>165</v>
      </c>
      <c r="AE60" s="72">
        <v>0.0</v>
      </c>
      <c r="AF60" s="89">
        <v>5.0</v>
      </c>
      <c r="AG60" s="75" t="s">
        <v>34</v>
      </c>
      <c r="AH60" s="72">
        <v>0.0</v>
      </c>
      <c r="AI60" s="75" t="s">
        <v>34</v>
      </c>
      <c r="AJ60" s="75" t="s">
        <v>34</v>
      </c>
      <c r="AK60" s="75" t="s">
        <v>34</v>
      </c>
      <c r="AL60" s="75" t="s">
        <v>34</v>
      </c>
      <c r="AM60" s="75" t="s">
        <v>34</v>
      </c>
      <c r="AN60" s="75" t="s">
        <v>34</v>
      </c>
      <c r="AO60" s="75" t="s">
        <v>34</v>
      </c>
      <c r="AP60" s="75" t="s">
        <v>34</v>
      </c>
      <c r="AQ60" s="75" t="s">
        <v>34</v>
      </c>
      <c r="AR60" s="72">
        <v>0.0</v>
      </c>
      <c r="AS60" s="72">
        <v>0.0</v>
      </c>
      <c r="AT60" s="4">
        <v>5.0</v>
      </c>
      <c r="AX60" s="53"/>
      <c r="AY60" s="90">
        <v>3.06</v>
      </c>
      <c r="AZ60" s="91">
        <v>87.47</v>
      </c>
      <c r="BA60" s="78">
        <f t="shared" si="2"/>
        <v>0.73</v>
      </c>
      <c r="BH60" s="57"/>
      <c r="BI60" s="81">
        <v>0.0</v>
      </c>
      <c r="BJ60" s="80">
        <v>0.0</v>
      </c>
      <c r="BK60" s="81">
        <v>0.0</v>
      </c>
      <c r="BL60" s="77">
        <v>1.17</v>
      </c>
      <c r="BM60" s="82">
        <v>7.57</v>
      </c>
      <c r="BS60" s="75">
        <v>0.0</v>
      </c>
      <c r="BT60" s="72">
        <v>0.73</v>
      </c>
      <c r="BU60" s="75">
        <v>0.0</v>
      </c>
      <c r="BV60" s="75">
        <v>0.0</v>
      </c>
      <c r="BW60" s="75">
        <v>0.0</v>
      </c>
      <c r="BX60" s="75">
        <v>0.0</v>
      </c>
      <c r="BY60" s="75">
        <v>0.0</v>
      </c>
      <c r="BZ60" s="75">
        <v>0.0</v>
      </c>
      <c r="CA60" s="83">
        <f t="shared" si="1"/>
        <v>0.73</v>
      </c>
      <c r="CJ60" s="84">
        <v>58.0</v>
      </c>
      <c r="CK60" s="64"/>
      <c r="CL60" s="85">
        <v>0.0</v>
      </c>
      <c r="CM60" s="86">
        <v>5.0</v>
      </c>
      <c r="CN60" s="85">
        <v>0.0</v>
      </c>
      <c r="CO60" s="86">
        <v>0.0</v>
      </c>
      <c r="CP60" s="85">
        <v>0.0</v>
      </c>
      <c r="CQ60" s="86">
        <v>0.0</v>
      </c>
      <c r="CR60" s="85">
        <v>0.0</v>
      </c>
      <c r="CS60" s="86">
        <v>0.0</v>
      </c>
      <c r="CT60" s="56"/>
      <c r="CU60" s="41"/>
      <c r="CV60" s="53"/>
      <c r="CW60" s="86">
        <v>0.0</v>
      </c>
      <c r="CX60" s="85">
        <v>0.0</v>
      </c>
      <c r="CY60" s="86">
        <v>5.0</v>
      </c>
      <c r="CZ60" s="85">
        <v>0.0</v>
      </c>
      <c r="DA60" s="56"/>
      <c r="DB60" s="41"/>
      <c r="DC60" s="53"/>
      <c r="DD60" s="88">
        <v>0.0</v>
      </c>
      <c r="DE60" s="85">
        <v>0.0</v>
      </c>
      <c r="DF60" s="87">
        <v>5.0</v>
      </c>
      <c r="DG60" s="48"/>
    </row>
    <row r="61" ht="12.0" customHeight="1">
      <c r="E61" s="70">
        <v>59.0</v>
      </c>
      <c r="F61" s="71" t="s">
        <v>167</v>
      </c>
      <c r="G61" s="70" t="s">
        <v>168</v>
      </c>
      <c r="H61" s="70">
        <v>5.0</v>
      </c>
      <c r="J61" s="72">
        <v>59.0</v>
      </c>
      <c r="K61" s="73" t="s">
        <v>167</v>
      </c>
      <c r="L61" s="75" t="s">
        <v>34</v>
      </c>
      <c r="M61" s="89">
        <v>40.08</v>
      </c>
      <c r="N61" s="75" t="s">
        <v>34</v>
      </c>
      <c r="O61" s="72">
        <v>12.17</v>
      </c>
      <c r="P61" s="72">
        <v>18.78</v>
      </c>
      <c r="Q61" s="75" t="s">
        <v>34</v>
      </c>
      <c r="R61" s="75" t="s">
        <v>34</v>
      </c>
      <c r="S61" s="75" t="s">
        <v>34</v>
      </c>
      <c r="T61" s="72">
        <v>7.76</v>
      </c>
      <c r="U61" s="75" t="s">
        <v>34</v>
      </c>
      <c r="V61" s="72">
        <v>1.68</v>
      </c>
      <c r="W61" s="75" t="s">
        <v>34</v>
      </c>
      <c r="X61" s="75" t="s">
        <v>34</v>
      </c>
      <c r="Y61" s="72">
        <v>0.79</v>
      </c>
      <c r="Z61" s="72">
        <v>18.74</v>
      </c>
      <c r="AA61" s="4">
        <v>48.82</v>
      </c>
      <c r="AC61" s="72">
        <v>59.0</v>
      </c>
      <c r="AD61" s="73" t="s">
        <v>167</v>
      </c>
      <c r="AE61" s="75" t="s">
        <v>34</v>
      </c>
      <c r="AF61" s="89">
        <v>3.0</v>
      </c>
      <c r="AG61" s="75" t="s">
        <v>34</v>
      </c>
      <c r="AH61" s="72">
        <v>1.0</v>
      </c>
      <c r="AI61" s="72">
        <v>1.0</v>
      </c>
      <c r="AJ61" s="75" t="s">
        <v>34</v>
      </c>
      <c r="AK61" s="75" t="s">
        <v>34</v>
      </c>
      <c r="AL61" s="75" t="s">
        <v>34</v>
      </c>
      <c r="AM61" s="72">
        <v>0.0</v>
      </c>
      <c r="AN61" s="75" t="s">
        <v>34</v>
      </c>
      <c r="AO61" s="72">
        <v>0.0</v>
      </c>
      <c r="AP61" s="75" t="s">
        <v>34</v>
      </c>
      <c r="AQ61" s="75" t="s">
        <v>34</v>
      </c>
      <c r="AR61" s="72">
        <v>0.0</v>
      </c>
      <c r="AS61" s="72">
        <v>0.0</v>
      </c>
      <c r="AT61" s="4">
        <v>5.0</v>
      </c>
      <c r="AX61" s="53"/>
      <c r="AY61" s="110">
        <v>0.0</v>
      </c>
      <c r="AZ61" s="91">
        <v>40.08</v>
      </c>
      <c r="BA61" s="78">
        <f t="shared" si="2"/>
        <v>40.39</v>
      </c>
      <c r="BH61" s="57"/>
      <c r="BI61" s="81">
        <v>0.0</v>
      </c>
      <c r="BJ61" s="80">
        <v>0.0</v>
      </c>
      <c r="BK61" s="81">
        <v>0.0</v>
      </c>
      <c r="BL61" s="77">
        <v>0.79</v>
      </c>
      <c r="BM61" s="82">
        <v>18.74</v>
      </c>
      <c r="BS61" s="75">
        <v>0.0</v>
      </c>
      <c r="BT61" s="72">
        <v>12.17</v>
      </c>
      <c r="BU61" s="72">
        <v>18.78</v>
      </c>
      <c r="BV61" s="75">
        <v>0.0</v>
      </c>
      <c r="BW61" s="72">
        <v>7.76</v>
      </c>
      <c r="BX61" s="75">
        <v>0.0</v>
      </c>
      <c r="BY61" s="72">
        <v>1.68</v>
      </c>
      <c r="BZ61" s="75">
        <v>0.0</v>
      </c>
      <c r="CA61" s="83">
        <f t="shared" si="1"/>
        <v>40.39</v>
      </c>
      <c r="CJ61" s="84">
        <v>59.0</v>
      </c>
      <c r="CK61" s="64"/>
      <c r="CL61" s="85">
        <v>0.0</v>
      </c>
      <c r="CM61" s="86">
        <v>2.0</v>
      </c>
      <c r="CN61" s="85">
        <v>2.0</v>
      </c>
      <c r="CO61" s="86">
        <v>0.0</v>
      </c>
      <c r="CP61" s="85">
        <v>0.0</v>
      </c>
      <c r="CQ61" s="86">
        <v>0.0</v>
      </c>
      <c r="CR61" s="85">
        <v>0.0</v>
      </c>
      <c r="CS61" s="86">
        <v>1.0</v>
      </c>
      <c r="CT61" s="56"/>
      <c r="CU61" s="41"/>
      <c r="CV61" s="53"/>
      <c r="CW61" s="86">
        <v>0.0</v>
      </c>
      <c r="CX61" s="85">
        <v>2.0</v>
      </c>
      <c r="CY61" s="86">
        <v>3.0</v>
      </c>
      <c r="CZ61" s="85">
        <v>0.0</v>
      </c>
      <c r="DA61" s="56"/>
      <c r="DB61" s="41"/>
      <c r="DC61" s="53"/>
      <c r="DD61" s="88">
        <v>0.0</v>
      </c>
      <c r="DE61" s="85">
        <v>2.0</v>
      </c>
      <c r="DF61" s="87">
        <v>3.0</v>
      </c>
      <c r="DG61" s="48"/>
    </row>
    <row r="62" ht="12.0" customHeight="1">
      <c r="E62" s="70">
        <v>60.0</v>
      </c>
      <c r="F62" s="71" t="s">
        <v>169</v>
      </c>
      <c r="G62" s="70" t="s">
        <v>170</v>
      </c>
      <c r="H62" s="70">
        <v>5.0</v>
      </c>
      <c r="J62" s="72">
        <v>60.0</v>
      </c>
      <c r="K62" s="73" t="s">
        <v>169</v>
      </c>
      <c r="L62" s="75" t="s">
        <v>34</v>
      </c>
      <c r="M62" s="72">
        <v>24.91</v>
      </c>
      <c r="N62" s="75" t="s">
        <v>34</v>
      </c>
      <c r="O62" s="72">
        <v>21.33</v>
      </c>
      <c r="P62" s="97">
        <v>42.61</v>
      </c>
      <c r="Q62" s="75" t="s">
        <v>34</v>
      </c>
      <c r="R62" s="75" t="s">
        <v>34</v>
      </c>
      <c r="S62" s="75" t="s">
        <v>34</v>
      </c>
      <c r="T62" s="75" t="s">
        <v>34</v>
      </c>
      <c r="U62" s="75" t="s">
        <v>34</v>
      </c>
      <c r="V62" s="72">
        <v>1.85</v>
      </c>
      <c r="W62" s="75" t="s">
        <v>34</v>
      </c>
      <c r="X62" s="75" t="s">
        <v>34</v>
      </c>
      <c r="Y62" s="72">
        <v>0.27</v>
      </c>
      <c r="Z62" s="72">
        <v>9.03</v>
      </c>
      <c r="AA62" s="4">
        <v>60.16</v>
      </c>
      <c r="AC62" s="72">
        <v>60.0</v>
      </c>
      <c r="AD62" s="73" t="s">
        <v>169</v>
      </c>
      <c r="AE62" s="75" t="s">
        <v>34</v>
      </c>
      <c r="AF62" s="72">
        <v>1.0</v>
      </c>
      <c r="AG62" s="75" t="s">
        <v>34</v>
      </c>
      <c r="AH62" s="72">
        <v>1.0</v>
      </c>
      <c r="AI62" s="97">
        <v>3.0</v>
      </c>
      <c r="AJ62" s="75" t="s">
        <v>34</v>
      </c>
      <c r="AK62" s="75" t="s">
        <v>34</v>
      </c>
      <c r="AL62" s="75" t="s">
        <v>34</v>
      </c>
      <c r="AM62" s="75" t="s">
        <v>34</v>
      </c>
      <c r="AN62" s="75" t="s">
        <v>34</v>
      </c>
      <c r="AO62" s="72">
        <v>0.0</v>
      </c>
      <c r="AP62" s="75" t="s">
        <v>34</v>
      </c>
      <c r="AQ62" s="75" t="s">
        <v>34</v>
      </c>
      <c r="AR62" s="72">
        <v>0.0</v>
      </c>
      <c r="AS62" s="72">
        <v>0.0</v>
      </c>
      <c r="AT62" s="4">
        <v>5.0</v>
      </c>
      <c r="AX62" s="53"/>
      <c r="AY62" s="110">
        <v>0.0</v>
      </c>
      <c r="AZ62" s="77">
        <v>24.91</v>
      </c>
      <c r="BA62" s="78">
        <f t="shared" si="2"/>
        <v>65.79</v>
      </c>
      <c r="BH62" s="57"/>
      <c r="BI62" s="81">
        <v>0.0</v>
      </c>
      <c r="BJ62" s="80">
        <v>0.0</v>
      </c>
      <c r="BK62" s="81">
        <v>0.0</v>
      </c>
      <c r="BL62" s="77">
        <v>0.27</v>
      </c>
      <c r="BM62" s="82">
        <v>9.03</v>
      </c>
      <c r="BS62" s="75">
        <v>0.0</v>
      </c>
      <c r="BT62" s="72">
        <v>21.33</v>
      </c>
      <c r="BU62" s="97">
        <v>42.61</v>
      </c>
      <c r="BV62" s="75">
        <v>0.0</v>
      </c>
      <c r="BW62" s="75">
        <v>0.0</v>
      </c>
      <c r="BX62" s="75">
        <v>0.0</v>
      </c>
      <c r="BY62" s="72">
        <v>1.85</v>
      </c>
      <c r="BZ62" s="75">
        <v>0.0</v>
      </c>
      <c r="CA62" s="83">
        <f t="shared" si="1"/>
        <v>65.79</v>
      </c>
      <c r="CJ62" s="84">
        <v>60.0</v>
      </c>
      <c r="CK62" s="64"/>
      <c r="CL62" s="85">
        <v>0.0</v>
      </c>
      <c r="CM62" s="86">
        <v>1.0</v>
      </c>
      <c r="CN62" s="85">
        <v>4.0</v>
      </c>
      <c r="CO62" s="86">
        <v>0.0</v>
      </c>
      <c r="CP62" s="85">
        <v>0.0</v>
      </c>
      <c r="CQ62" s="86">
        <v>0.0</v>
      </c>
      <c r="CR62" s="85">
        <v>0.0</v>
      </c>
      <c r="CS62" s="86">
        <v>0.0</v>
      </c>
      <c r="CT62" s="56"/>
      <c r="CU62" s="41"/>
      <c r="CV62" s="53"/>
      <c r="CW62" s="86">
        <v>0.0</v>
      </c>
      <c r="CX62" s="85">
        <v>3.0</v>
      </c>
      <c r="CY62" s="86">
        <v>2.0</v>
      </c>
      <c r="CZ62" s="85">
        <v>0.0</v>
      </c>
      <c r="DA62" s="56"/>
      <c r="DB62" s="41"/>
      <c r="DC62" s="53"/>
      <c r="DD62" s="88">
        <v>0.0</v>
      </c>
      <c r="DE62" s="85">
        <v>3.0</v>
      </c>
      <c r="DF62" s="87">
        <v>2.0</v>
      </c>
      <c r="DG62" s="48"/>
    </row>
    <row r="63" ht="12.0" customHeight="1">
      <c r="E63" s="70">
        <v>61.0</v>
      </c>
      <c r="F63" s="71" t="s">
        <v>171</v>
      </c>
      <c r="G63" s="70" t="s">
        <v>172</v>
      </c>
      <c r="H63" s="70">
        <v>6.0</v>
      </c>
      <c r="J63" s="72">
        <v>61.0</v>
      </c>
      <c r="K63" s="73" t="s">
        <v>171</v>
      </c>
      <c r="L63" s="75" t="s">
        <v>34</v>
      </c>
      <c r="M63" s="89">
        <v>45.68</v>
      </c>
      <c r="N63" s="75" t="s">
        <v>34</v>
      </c>
      <c r="O63" s="72">
        <v>31.59</v>
      </c>
      <c r="P63" s="75" t="s">
        <v>34</v>
      </c>
      <c r="Q63" s="75" t="s">
        <v>34</v>
      </c>
      <c r="R63" s="72">
        <v>5.5</v>
      </c>
      <c r="S63" s="75" t="s">
        <v>34</v>
      </c>
      <c r="T63" s="75" t="s">
        <v>34</v>
      </c>
      <c r="U63" s="75" t="s">
        <v>34</v>
      </c>
      <c r="V63" s="72">
        <v>0.74</v>
      </c>
      <c r="W63" s="75" t="s">
        <v>34</v>
      </c>
      <c r="X63" s="75" t="s">
        <v>34</v>
      </c>
      <c r="Y63" s="72">
        <v>0.61</v>
      </c>
      <c r="Z63" s="72">
        <v>15.88</v>
      </c>
      <c r="AA63" s="4">
        <v>54.37</v>
      </c>
      <c r="AC63" s="72">
        <v>61.0</v>
      </c>
      <c r="AD63" s="73" t="s">
        <v>171</v>
      </c>
      <c r="AE63" s="75" t="s">
        <v>34</v>
      </c>
      <c r="AF63" s="89">
        <v>4.0</v>
      </c>
      <c r="AG63" s="75" t="s">
        <v>34</v>
      </c>
      <c r="AH63" s="72">
        <v>2.0</v>
      </c>
      <c r="AI63" s="75" t="s">
        <v>34</v>
      </c>
      <c r="AJ63" s="75" t="s">
        <v>34</v>
      </c>
      <c r="AK63" s="72">
        <v>0.0</v>
      </c>
      <c r="AL63" s="75" t="s">
        <v>34</v>
      </c>
      <c r="AM63" s="75" t="s">
        <v>34</v>
      </c>
      <c r="AN63" s="75" t="s">
        <v>34</v>
      </c>
      <c r="AO63" s="72">
        <v>0.0</v>
      </c>
      <c r="AP63" s="75" t="s">
        <v>34</v>
      </c>
      <c r="AQ63" s="75" t="s">
        <v>34</v>
      </c>
      <c r="AR63" s="72">
        <v>0.0</v>
      </c>
      <c r="AS63" s="72">
        <v>0.0</v>
      </c>
      <c r="AT63" s="4">
        <v>6.0</v>
      </c>
      <c r="AX63" s="53"/>
      <c r="AY63" s="110">
        <v>0.0</v>
      </c>
      <c r="AZ63" s="91">
        <v>45.68</v>
      </c>
      <c r="BA63" s="78">
        <f t="shared" si="2"/>
        <v>32.33</v>
      </c>
      <c r="BH63" s="57"/>
      <c r="BI63" s="79">
        <v>5.5</v>
      </c>
      <c r="BJ63" s="80">
        <v>0.0</v>
      </c>
      <c r="BK63" s="81">
        <v>0.0</v>
      </c>
      <c r="BL63" s="77">
        <v>0.61</v>
      </c>
      <c r="BM63" s="82">
        <v>15.88</v>
      </c>
      <c r="BS63" s="75">
        <v>0.0</v>
      </c>
      <c r="BT63" s="72">
        <v>31.59</v>
      </c>
      <c r="BU63" s="75">
        <v>0.0</v>
      </c>
      <c r="BV63" s="75">
        <v>0.0</v>
      </c>
      <c r="BW63" s="75">
        <v>0.0</v>
      </c>
      <c r="BX63" s="75">
        <v>0.0</v>
      </c>
      <c r="BY63" s="72">
        <v>0.74</v>
      </c>
      <c r="BZ63" s="75">
        <v>0.0</v>
      </c>
      <c r="CA63" s="83">
        <f t="shared" si="1"/>
        <v>32.33</v>
      </c>
      <c r="CJ63" s="84">
        <v>61.0</v>
      </c>
      <c r="CK63" s="64"/>
      <c r="CL63" s="85">
        <v>0.0</v>
      </c>
      <c r="CM63" s="86">
        <v>3.0</v>
      </c>
      <c r="CN63" s="85">
        <v>2.0</v>
      </c>
      <c r="CO63" s="86">
        <v>0.0</v>
      </c>
      <c r="CP63" s="85">
        <v>0.0</v>
      </c>
      <c r="CQ63" s="86">
        <v>0.0</v>
      </c>
      <c r="CR63" s="85">
        <v>0.0</v>
      </c>
      <c r="CS63" s="86">
        <v>1.0</v>
      </c>
      <c r="CT63" s="56"/>
      <c r="CU63" s="41"/>
      <c r="CV63" s="53"/>
      <c r="CW63" s="86">
        <v>0.0</v>
      </c>
      <c r="CX63" s="85">
        <v>2.0</v>
      </c>
      <c r="CY63" s="86">
        <v>4.0</v>
      </c>
      <c r="CZ63" s="85">
        <v>0.0</v>
      </c>
      <c r="DA63" s="56"/>
      <c r="DB63" s="41"/>
      <c r="DC63" s="53"/>
      <c r="DD63" s="88">
        <v>0.0</v>
      </c>
      <c r="DE63" s="85">
        <v>2.0</v>
      </c>
      <c r="DF63" s="87">
        <v>4.0</v>
      </c>
      <c r="DG63" s="48"/>
    </row>
    <row r="64" ht="12.0" customHeight="1">
      <c r="E64" s="70">
        <v>62.0</v>
      </c>
      <c r="F64" s="71" t="s">
        <v>173</v>
      </c>
      <c r="G64" s="70" t="s">
        <v>174</v>
      </c>
      <c r="H64" s="70">
        <v>7.0</v>
      </c>
      <c r="J64" s="72">
        <v>62.0</v>
      </c>
      <c r="K64" s="73" t="s">
        <v>173</v>
      </c>
      <c r="L64" s="72">
        <v>12.0</v>
      </c>
      <c r="M64" s="72">
        <v>26.94</v>
      </c>
      <c r="N64" s="72">
        <v>22.75</v>
      </c>
      <c r="O64" s="93">
        <v>34.22</v>
      </c>
      <c r="P64" s="75" t="s">
        <v>34</v>
      </c>
      <c r="Q64" s="75" t="s">
        <v>34</v>
      </c>
      <c r="R64" s="75" t="s">
        <v>34</v>
      </c>
      <c r="S64" s="75" t="s">
        <v>34</v>
      </c>
      <c r="T64" s="72">
        <v>2.84</v>
      </c>
      <c r="U64" s="75" t="s">
        <v>34</v>
      </c>
      <c r="V64" s="75" t="s">
        <v>34</v>
      </c>
      <c r="W64" s="75" t="s">
        <v>34</v>
      </c>
      <c r="X64" s="75" t="s">
        <v>34</v>
      </c>
      <c r="Y64" s="75" t="s">
        <v>34</v>
      </c>
      <c r="Z64" s="72">
        <v>1.25</v>
      </c>
      <c r="AA64" s="4">
        <v>57.72</v>
      </c>
      <c r="AC64" s="72">
        <v>62.0</v>
      </c>
      <c r="AD64" s="73" t="s">
        <v>173</v>
      </c>
      <c r="AE64" s="72">
        <v>1.0</v>
      </c>
      <c r="AF64" s="72">
        <v>2.0</v>
      </c>
      <c r="AG64" s="72">
        <v>1.0</v>
      </c>
      <c r="AH64" s="93">
        <v>3.0</v>
      </c>
      <c r="AI64" s="75" t="s">
        <v>34</v>
      </c>
      <c r="AJ64" s="75" t="s">
        <v>34</v>
      </c>
      <c r="AK64" s="75" t="s">
        <v>34</v>
      </c>
      <c r="AL64" s="75" t="s">
        <v>34</v>
      </c>
      <c r="AM64" s="72">
        <v>0.0</v>
      </c>
      <c r="AN64" s="75" t="s">
        <v>34</v>
      </c>
      <c r="AO64" s="75" t="s">
        <v>34</v>
      </c>
      <c r="AP64" s="75" t="s">
        <v>34</v>
      </c>
      <c r="AQ64" s="75" t="s">
        <v>34</v>
      </c>
      <c r="AR64" s="75" t="s">
        <v>34</v>
      </c>
      <c r="AS64" s="72">
        <v>0.0</v>
      </c>
      <c r="AT64" s="4">
        <v>7.0</v>
      </c>
      <c r="AX64" s="53"/>
      <c r="AY64" s="90">
        <v>12.0</v>
      </c>
      <c r="AZ64" s="77">
        <v>26.94</v>
      </c>
      <c r="BA64" s="78">
        <f t="shared" si="2"/>
        <v>59.81</v>
      </c>
      <c r="BH64" s="57"/>
      <c r="BI64" s="81">
        <v>0.0</v>
      </c>
      <c r="BJ64" s="80">
        <v>0.0</v>
      </c>
      <c r="BK64" s="81">
        <v>0.0</v>
      </c>
      <c r="BL64" s="80">
        <v>0.0</v>
      </c>
      <c r="BM64" s="82">
        <v>1.25</v>
      </c>
      <c r="BS64" s="72">
        <v>22.75</v>
      </c>
      <c r="BT64" s="93">
        <v>34.22</v>
      </c>
      <c r="BU64" s="75">
        <v>0.0</v>
      </c>
      <c r="BV64" s="75">
        <v>0.0</v>
      </c>
      <c r="BW64" s="72">
        <v>2.84</v>
      </c>
      <c r="BX64" s="75">
        <v>0.0</v>
      </c>
      <c r="BY64" s="75">
        <v>0.0</v>
      </c>
      <c r="BZ64" s="75">
        <v>0.0</v>
      </c>
      <c r="CA64" s="83">
        <f t="shared" si="1"/>
        <v>59.81</v>
      </c>
      <c r="CJ64" s="84">
        <v>62.0</v>
      </c>
      <c r="CK64" s="64"/>
      <c r="CL64" s="85">
        <v>1.0</v>
      </c>
      <c r="CM64" s="86">
        <v>2.0</v>
      </c>
      <c r="CN64" s="85">
        <v>4.0</v>
      </c>
      <c r="CO64" s="86">
        <v>0.0</v>
      </c>
      <c r="CP64" s="85">
        <v>0.0</v>
      </c>
      <c r="CQ64" s="86">
        <v>0.0</v>
      </c>
      <c r="CR64" s="85">
        <v>0.0</v>
      </c>
      <c r="CS64" s="86">
        <v>0.0</v>
      </c>
      <c r="CT64" s="56"/>
      <c r="CU64" s="41"/>
      <c r="CV64" s="53"/>
      <c r="CW64" s="86">
        <v>1.0</v>
      </c>
      <c r="CX64" s="85">
        <v>4.0</v>
      </c>
      <c r="CY64" s="86">
        <v>2.0</v>
      </c>
      <c r="CZ64" s="85">
        <v>0.0</v>
      </c>
      <c r="DA64" s="56"/>
      <c r="DB64" s="41"/>
      <c r="DC64" s="53"/>
      <c r="DD64" s="88">
        <v>1.0</v>
      </c>
      <c r="DE64" s="85">
        <v>4.0</v>
      </c>
      <c r="DF64" s="87">
        <v>2.0</v>
      </c>
      <c r="DG64" s="48"/>
    </row>
    <row r="65" ht="12.0" customHeight="1">
      <c r="E65" s="70">
        <v>63.0</v>
      </c>
      <c r="F65" s="71" t="s">
        <v>175</v>
      </c>
      <c r="G65" s="70" t="s">
        <v>176</v>
      </c>
      <c r="H65" s="70">
        <v>5.0</v>
      </c>
      <c r="J65" s="72">
        <v>63.0</v>
      </c>
      <c r="K65" s="73" t="s">
        <v>175</v>
      </c>
      <c r="L65" s="74">
        <v>30.52</v>
      </c>
      <c r="M65" s="72">
        <v>12.18</v>
      </c>
      <c r="N65" s="72">
        <v>15.77</v>
      </c>
      <c r="O65" s="72">
        <v>13.33</v>
      </c>
      <c r="P65" s="72">
        <v>12.45</v>
      </c>
      <c r="Q65" s="75" t="s">
        <v>34</v>
      </c>
      <c r="R65" s="75" t="s">
        <v>34</v>
      </c>
      <c r="S65" s="75" t="s">
        <v>34</v>
      </c>
      <c r="T65" s="72">
        <v>0.64</v>
      </c>
      <c r="U65" s="75" t="s">
        <v>34</v>
      </c>
      <c r="V65" s="72">
        <v>1.33</v>
      </c>
      <c r="W65" s="75" t="s">
        <v>34</v>
      </c>
      <c r="X65" s="75" t="s">
        <v>34</v>
      </c>
      <c r="Y65" s="72">
        <v>3.42</v>
      </c>
      <c r="Z65" s="72">
        <v>10.36</v>
      </c>
      <c r="AA65" s="4">
        <v>66.62</v>
      </c>
      <c r="AC65" s="72">
        <v>63.0</v>
      </c>
      <c r="AD65" s="73" t="s">
        <v>175</v>
      </c>
      <c r="AE65" s="74">
        <v>2.0</v>
      </c>
      <c r="AF65" s="72">
        <v>0.0</v>
      </c>
      <c r="AG65" s="72">
        <v>1.0</v>
      </c>
      <c r="AH65" s="72">
        <v>1.0</v>
      </c>
      <c r="AI65" s="72">
        <v>1.0</v>
      </c>
      <c r="AJ65" s="75" t="s">
        <v>34</v>
      </c>
      <c r="AK65" s="75" t="s">
        <v>34</v>
      </c>
      <c r="AL65" s="75" t="s">
        <v>34</v>
      </c>
      <c r="AM65" s="72">
        <v>0.0</v>
      </c>
      <c r="AN65" s="75" t="s">
        <v>34</v>
      </c>
      <c r="AO65" s="72">
        <v>0.0</v>
      </c>
      <c r="AP65" s="75" t="s">
        <v>34</v>
      </c>
      <c r="AQ65" s="75" t="s">
        <v>34</v>
      </c>
      <c r="AR65" s="72">
        <v>0.0</v>
      </c>
      <c r="AS65" s="72">
        <v>0.0</v>
      </c>
      <c r="AT65" s="4">
        <v>5.0</v>
      </c>
      <c r="AX65" s="53"/>
      <c r="AY65" s="76">
        <v>30.52</v>
      </c>
      <c r="AZ65" s="77">
        <v>12.18</v>
      </c>
      <c r="BA65" s="78">
        <f t="shared" si="2"/>
        <v>43.52</v>
      </c>
      <c r="BH65" s="57"/>
      <c r="BI65" s="81">
        <v>0.0</v>
      </c>
      <c r="BJ65" s="80">
        <v>0.0</v>
      </c>
      <c r="BK65" s="81">
        <v>0.0</v>
      </c>
      <c r="BL65" s="77">
        <v>3.42</v>
      </c>
      <c r="BM65" s="82">
        <v>10.36</v>
      </c>
      <c r="BS65" s="72">
        <v>15.77</v>
      </c>
      <c r="BT65" s="72">
        <v>13.33</v>
      </c>
      <c r="BU65" s="72">
        <v>12.45</v>
      </c>
      <c r="BV65" s="75">
        <v>0.0</v>
      </c>
      <c r="BW65" s="72">
        <v>0.64</v>
      </c>
      <c r="BX65" s="75">
        <v>0.0</v>
      </c>
      <c r="BY65" s="72">
        <v>1.33</v>
      </c>
      <c r="BZ65" s="75">
        <v>0.0</v>
      </c>
      <c r="CA65" s="83">
        <f t="shared" si="1"/>
        <v>43.52</v>
      </c>
      <c r="CJ65" s="84">
        <v>63.0</v>
      </c>
      <c r="CK65" s="64"/>
      <c r="CL65" s="85">
        <v>2.0</v>
      </c>
      <c r="CM65" s="86">
        <v>0.0</v>
      </c>
      <c r="CN65" s="85">
        <v>3.0</v>
      </c>
      <c r="CO65" s="86">
        <v>0.0</v>
      </c>
      <c r="CP65" s="85">
        <v>0.0</v>
      </c>
      <c r="CQ65" s="86">
        <v>0.0</v>
      </c>
      <c r="CR65" s="85">
        <v>0.0</v>
      </c>
      <c r="CS65" s="86">
        <v>0.0</v>
      </c>
      <c r="CT65" s="56"/>
      <c r="CU65" s="41"/>
      <c r="CV65" s="53"/>
      <c r="CW65" s="86">
        <v>2.0</v>
      </c>
      <c r="CX65" s="85">
        <v>2.0</v>
      </c>
      <c r="CY65" s="86">
        <v>1.0</v>
      </c>
      <c r="CZ65" s="85">
        <v>0.0</v>
      </c>
      <c r="DA65" s="56"/>
      <c r="DB65" s="41"/>
      <c r="DC65" s="53"/>
      <c r="DD65" s="88">
        <v>2.0</v>
      </c>
      <c r="DE65" s="85">
        <v>2.0</v>
      </c>
      <c r="DF65" s="87">
        <v>1.0</v>
      </c>
      <c r="DG65" s="48"/>
    </row>
    <row r="66" ht="12.0" customHeight="1">
      <c r="E66" s="70">
        <v>64.0</v>
      </c>
      <c r="F66" s="71" t="s">
        <v>177</v>
      </c>
      <c r="G66" s="70" t="s">
        <v>178</v>
      </c>
      <c r="H66" s="70">
        <v>6.0</v>
      </c>
      <c r="J66" s="72">
        <v>64.0</v>
      </c>
      <c r="K66" s="73" t="s">
        <v>177</v>
      </c>
      <c r="L66" s="75" t="s">
        <v>34</v>
      </c>
      <c r="M66" s="72">
        <v>30.66</v>
      </c>
      <c r="N66" s="72">
        <v>4.19</v>
      </c>
      <c r="O66" s="93">
        <v>47.33</v>
      </c>
      <c r="P66" s="75" t="s">
        <v>34</v>
      </c>
      <c r="Q66" s="75" t="s">
        <v>34</v>
      </c>
      <c r="R66" s="72">
        <v>9.05</v>
      </c>
      <c r="S66" s="75" t="s">
        <v>34</v>
      </c>
      <c r="T66" s="75" t="s">
        <v>34</v>
      </c>
      <c r="U66" s="75" t="s">
        <v>34</v>
      </c>
      <c r="V66" s="75" t="s">
        <v>34</v>
      </c>
      <c r="W66" s="75" t="s">
        <v>34</v>
      </c>
      <c r="X66" s="75" t="s">
        <v>34</v>
      </c>
      <c r="Y66" s="72">
        <v>2.72</v>
      </c>
      <c r="Z66" s="72">
        <v>6.05</v>
      </c>
      <c r="AA66" s="4">
        <v>51.47</v>
      </c>
      <c r="AC66" s="72">
        <v>64.0</v>
      </c>
      <c r="AD66" s="73" t="s">
        <v>177</v>
      </c>
      <c r="AE66" s="75" t="s">
        <v>34</v>
      </c>
      <c r="AF66" s="72">
        <v>2.0</v>
      </c>
      <c r="AG66" s="72">
        <v>0.0</v>
      </c>
      <c r="AH66" s="93">
        <v>4.0</v>
      </c>
      <c r="AI66" s="75" t="s">
        <v>34</v>
      </c>
      <c r="AJ66" s="75" t="s">
        <v>34</v>
      </c>
      <c r="AK66" s="72">
        <v>0.0</v>
      </c>
      <c r="AL66" s="75" t="s">
        <v>34</v>
      </c>
      <c r="AM66" s="75" t="s">
        <v>34</v>
      </c>
      <c r="AN66" s="75" t="s">
        <v>34</v>
      </c>
      <c r="AO66" s="75" t="s">
        <v>34</v>
      </c>
      <c r="AP66" s="75" t="s">
        <v>34</v>
      </c>
      <c r="AQ66" s="75" t="s">
        <v>34</v>
      </c>
      <c r="AR66" s="72">
        <v>0.0</v>
      </c>
      <c r="AS66" s="72">
        <v>0.0</v>
      </c>
      <c r="AT66" s="4">
        <v>6.0</v>
      </c>
      <c r="AX66" s="111"/>
      <c r="AY66" s="112">
        <v>0.0</v>
      </c>
      <c r="AZ66" s="113">
        <v>30.66</v>
      </c>
      <c r="BA66" s="114">
        <f t="shared" si="2"/>
        <v>51.52</v>
      </c>
      <c r="BB66" s="115"/>
      <c r="BC66" s="115"/>
      <c r="BD66" s="115"/>
      <c r="BE66" s="115"/>
      <c r="BF66" s="115"/>
      <c r="BG66" s="115"/>
      <c r="BH66" s="116"/>
      <c r="BI66" s="117">
        <v>9.05</v>
      </c>
      <c r="BJ66" s="118">
        <v>0.0</v>
      </c>
      <c r="BK66" s="119">
        <v>0.0</v>
      </c>
      <c r="BL66" s="113">
        <v>2.72</v>
      </c>
      <c r="BM66" s="120">
        <v>6.05</v>
      </c>
      <c r="BS66" s="72">
        <v>4.19</v>
      </c>
      <c r="BT66" s="93">
        <v>47.33</v>
      </c>
      <c r="BU66" s="75">
        <v>0.0</v>
      </c>
      <c r="BV66" s="75">
        <v>0.0</v>
      </c>
      <c r="BW66" s="75">
        <v>0.0</v>
      </c>
      <c r="BX66" s="75">
        <v>0.0</v>
      </c>
      <c r="BY66" s="75">
        <v>0.0</v>
      </c>
      <c r="BZ66" s="75">
        <v>0.0</v>
      </c>
      <c r="CA66" s="83">
        <f t="shared" si="1"/>
        <v>51.52</v>
      </c>
      <c r="CJ66" s="84">
        <v>64.0</v>
      </c>
      <c r="CK66" s="121"/>
      <c r="CL66" s="122">
        <v>0.0</v>
      </c>
      <c r="CM66" s="86">
        <v>2.0</v>
      </c>
      <c r="CN66" s="122">
        <v>4.0</v>
      </c>
      <c r="CO66" s="86">
        <v>0.0</v>
      </c>
      <c r="CP66" s="122">
        <v>0.0</v>
      </c>
      <c r="CQ66" s="86">
        <v>0.0</v>
      </c>
      <c r="CR66" s="122">
        <v>0.0</v>
      </c>
      <c r="CS66" s="86">
        <v>0.0</v>
      </c>
      <c r="CT66" s="56"/>
      <c r="CU66" s="41"/>
      <c r="CV66" s="111"/>
      <c r="CW66" s="86">
        <v>0.0</v>
      </c>
      <c r="CX66" s="122">
        <v>3.0</v>
      </c>
      <c r="CY66" s="123">
        <v>3.0</v>
      </c>
      <c r="CZ66" s="85">
        <v>0.0</v>
      </c>
      <c r="DA66" s="56"/>
      <c r="DB66" s="41"/>
      <c r="DC66" s="111"/>
      <c r="DD66" s="124">
        <v>0.0</v>
      </c>
      <c r="DE66" s="85">
        <v>3.0</v>
      </c>
      <c r="DF66" s="125">
        <v>3.0</v>
      </c>
      <c r="DG66" s="48"/>
    </row>
    <row r="67" ht="24.0" customHeight="1">
      <c r="H67" s="83">
        <f>SUM(H3:H66)</f>
        <v>372</v>
      </c>
      <c r="J67" s="4" t="s">
        <v>179</v>
      </c>
      <c r="K67" s="4"/>
      <c r="L67" s="4">
        <v>29.12</v>
      </c>
      <c r="M67" s="4">
        <v>15.96</v>
      </c>
      <c r="N67" s="4">
        <v>13.16</v>
      </c>
      <c r="O67" s="4">
        <v>10.99</v>
      </c>
      <c r="P67" s="4">
        <v>10.35</v>
      </c>
      <c r="Q67" s="4">
        <v>5.41</v>
      </c>
      <c r="R67" s="4">
        <v>2.97</v>
      </c>
      <c r="S67" s="4">
        <v>2.01</v>
      </c>
      <c r="T67" s="4">
        <v>1.39</v>
      </c>
      <c r="U67" s="4">
        <v>1.32</v>
      </c>
      <c r="V67" s="4">
        <v>0.91</v>
      </c>
      <c r="W67" s="4">
        <v>0.75</v>
      </c>
      <c r="X67" s="4">
        <v>0.67</v>
      </c>
      <c r="Y67" s="4">
        <v>0.61</v>
      </c>
      <c r="Z67" s="4">
        <v>4.38</v>
      </c>
      <c r="AA67" s="4">
        <v>68.32</v>
      </c>
      <c r="AC67" s="4" t="s">
        <v>180</v>
      </c>
      <c r="AE67" s="4">
        <v>134.0</v>
      </c>
      <c r="AF67" s="4">
        <v>55.0</v>
      </c>
      <c r="AG67" s="4">
        <v>58.0</v>
      </c>
      <c r="AH67" s="4">
        <v>41.0</v>
      </c>
      <c r="AI67" s="4">
        <v>34.0</v>
      </c>
      <c r="AJ67" s="4">
        <v>15.0</v>
      </c>
      <c r="AK67" s="4">
        <v>6.0</v>
      </c>
      <c r="AL67" s="4">
        <v>13.0</v>
      </c>
      <c r="AM67" s="4">
        <v>2.0</v>
      </c>
      <c r="AN67" s="4">
        <v>4.0</v>
      </c>
      <c r="AO67" s="4">
        <v>0.0</v>
      </c>
      <c r="AP67" s="4">
        <v>1.0</v>
      </c>
      <c r="AQ67" s="4">
        <v>2.0</v>
      </c>
      <c r="AR67" s="4">
        <v>1.0</v>
      </c>
      <c r="AS67" s="4">
        <v>6.0</v>
      </c>
      <c r="AT67" s="4">
        <v>372.0</v>
      </c>
      <c r="CK67" s="126" t="s">
        <v>181</v>
      </c>
      <c r="CL67" s="127">
        <f t="shared" ref="CL67:CS67" si="3">SUM(CL3:CL66)</f>
        <v>110</v>
      </c>
      <c r="CM67" s="128">
        <f t="shared" si="3"/>
        <v>49</v>
      </c>
      <c r="CN67" s="129">
        <f t="shared" si="3"/>
        <v>187</v>
      </c>
      <c r="CO67" s="130">
        <f t="shared" si="3"/>
        <v>4</v>
      </c>
      <c r="CP67" s="131">
        <f t="shared" si="3"/>
        <v>11</v>
      </c>
      <c r="CQ67" s="132">
        <f t="shared" si="3"/>
        <v>1</v>
      </c>
      <c r="CR67" s="131">
        <f t="shared" si="3"/>
        <v>0</v>
      </c>
      <c r="CS67" s="133">
        <f t="shared" si="3"/>
        <v>10</v>
      </c>
      <c r="CV67" s="126" t="s">
        <v>181</v>
      </c>
      <c r="CW67" s="134">
        <f t="shared" ref="CW67:CZ67" si="4">SUM(CW3:CW66)</f>
        <v>108</v>
      </c>
      <c r="CX67" s="129">
        <f t="shared" si="4"/>
        <v>183</v>
      </c>
      <c r="CY67" s="135">
        <f t="shared" si="4"/>
        <v>77</v>
      </c>
      <c r="CZ67" s="136">
        <f t="shared" si="4"/>
        <v>4</v>
      </c>
      <c r="DC67" s="126" t="s">
        <v>181</v>
      </c>
      <c r="DD67" s="137">
        <f t="shared" ref="DD67:DF67" si="5">SUM(DD3:DD66)</f>
        <v>118</v>
      </c>
      <c r="DE67" s="129">
        <f t="shared" si="5"/>
        <v>179</v>
      </c>
      <c r="DF67" s="138">
        <f t="shared" si="5"/>
        <v>75</v>
      </c>
    </row>
    <row r="68" ht="12.0" customHeight="1">
      <c r="AC68" s="139" t="s">
        <v>182</v>
      </c>
      <c r="AE68" s="74">
        <v>29.0</v>
      </c>
      <c r="AF68" s="140">
        <v>11.0</v>
      </c>
      <c r="AG68" s="141">
        <v>12.0</v>
      </c>
      <c r="AH68" s="141">
        <v>8.0</v>
      </c>
      <c r="AI68" s="141">
        <v>7.0</v>
      </c>
      <c r="AJ68" s="141">
        <v>3.0</v>
      </c>
      <c r="AK68" s="142" t="s">
        <v>34</v>
      </c>
      <c r="AL68" s="143">
        <v>2.0</v>
      </c>
      <c r="AM68" s="141" t="s">
        <v>34</v>
      </c>
      <c r="AN68" s="141" t="s">
        <v>34</v>
      </c>
      <c r="AO68" s="141" t="s">
        <v>34</v>
      </c>
      <c r="AP68" s="143" t="s">
        <v>34</v>
      </c>
      <c r="AQ68" s="141" t="s">
        <v>34</v>
      </c>
      <c r="AR68" s="143" t="s">
        <v>34</v>
      </c>
      <c r="AS68" s="75" t="s">
        <v>34</v>
      </c>
      <c r="AT68" s="4">
        <v>72.0</v>
      </c>
      <c r="AX68" s="18" t="s">
        <v>6</v>
      </c>
      <c r="AY68" s="19"/>
      <c r="AZ68" s="21"/>
      <c r="BA68" s="22"/>
      <c r="BB68" s="22"/>
      <c r="BC68" s="22"/>
      <c r="BD68" s="22"/>
      <c r="BE68" s="22"/>
      <c r="BF68" s="22"/>
      <c r="BG68" s="23"/>
      <c r="BH68" s="144"/>
      <c r="BI68" s="22"/>
      <c r="BJ68" s="22"/>
      <c r="BK68" s="22"/>
      <c r="BL68" s="145"/>
      <c r="BM68" s="146"/>
      <c r="BR68" s="6"/>
      <c r="BS68" s="12"/>
      <c r="BT68" s="12"/>
      <c r="BU68" s="12"/>
      <c r="BV68" s="17"/>
    </row>
    <row r="69" ht="12.0" customHeight="1">
      <c r="AC69" s="4" t="s">
        <v>183</v>
      </c>
      <c r="AE69" s="4">
        <v>163.0</v>
      </c>
      <c r="AF69" s="4">
        <v>66.0</v>
      </c>
      <c r="AG69" s="4">
        <v>70.0</v>
      </c>
      <c r="AH69" s="4">
        <v>49.0</v>
      </c>
      <c r="AI69" s="4">
        <v>41.0</v>
      </c>
      <c r="AJ69" s="4">
        <v>18.0</v>
      </c>
      <c r="AK69" s="4">
        <v>6.0</v>
      </c>
      <c r="AL69" s="4">
        <v>15.0</v>
      </c>
      <c r="AM69" s="4">
        <v>2.0</v>
      </c>
      <c r="AN69" s="4">
        <v>4.0</v>
      </c>
      <c r="AO69" s="4">
        <v>0.0</v>
      </c>
      <c r="AP69" s="4">
        <v>1.0</v>
      </c>
      <c r="AQ69" s="4">
        <v>2.0</v>
      </c>
      <c r="AR69" s="4">
        <v>1.0</v>
      </c>
      <c r="AS69" s="4">
        <v>6.0</v>
      </c>
      <c r="AT69" s="4">
        <v>444.0</v>
      </c>
      <c r="AX69" s="53"/>
      <c r="AY69" s="54" t="s">
        <v>12</v>
      </c>
      <c r="AZ69" s="56" t="s">
        <v>27</v>
      </c>
      <c r="BG69" s="57"/>
      <c r="BH69" s="52" t="s">
        <v>28</v>
      </c>
      <c r="BM69" s="58" t="s">
        <v>18</v>
      </c>
      <c r="BR69" s="51" t="s">
        <v>13</v>
      </c>
      <c r="BS69" s="52" t="s">
        <v>19</v>
      </c>
      <c r="BT69" s="52" t="s">
        <v>23</v>
      </c>
      <c r="BU69" s="51" t="s">
        <v>25</v>
      </c>
      <c r="BV69" s="52" t="s">
        <v>26</v>
      </c>
      <c r="CK69" s="147" t="s">
        <v>184</v>
      </c>
      <c r="CL69" s="148"/>
      <c r="CM69" s="148"/>
      <c r="CN69" s="148"/>
      <c r="CO69" s="149"/>
      <c r="CQ69" s="150">
        <v>444.0</v>
      </c>
      <c r="CV69" s="147" t="s">
        <v>6</v>
      </c>
      <c r="CW69" s="148"/>
      <c r="CX69" s="148"/>
      <c r="CY69" s="148"/>
      <c r="CZ69" s="149"/>
      <c r="DC69" s="147" t="s">
        <v>7</v>
      </c>
      <c r="DD69" s="148"/>
      <c r="DE69" s="148"/>
      <c r="DF69" s="148"/>
      <c r="DG69" s="149"/>
    </row>
    <row r="70" ht="12.0" customHeight="1">
      <c r="AX70" s="53"/>
      <c r="AY70" s="76">
        <v>41.99</v>
      </c>
      <c r="AZ70" s="78">
        <f t="shared" ref="AZ70:AZ133" si="6">CA3</f>
        <v>33.43</v>
      </c>
      <c r="BG70" s="57"/>
      <c r="BH70" s="79">
        <f t="shared" ref="BH70:BH133" si="7">BW70</f>
        <v>22.97</v>
      </c>
      <c r="BM70" s="77">
        <v>1.61</v>
      </c>
      <c r="BR70" s="72">
        <v>12.59</v>
      </c>
      <c r="BS70" s="75">
        <v>0.0</v>
      </c>
      <c r="BT70" s="75">
        <v>0.0</v>
      </c>
      <c r="BU70" s="72">
        <v>5.78</v>
      </c>
      <c r="BV70" s="72">
        <v>4.6</v>
      </c>
      <c r="BW70" s="83">
        <f t="shared" ref="BW70:BW133" si="8">SUM(BR70:BV70)</f>
        <v>22.97</v>
      </c>
      <c r="CK70" s="151" t="s">
        <v>185</v>
      </c>
      <c r="CL70" s="152" t="s">
        <v>186</v>
      </c>
      <c r="CM70" s="152" t="s">
        <v>187</v>
      </c>
      <c r="CN70" s="153" t="s">
        <v>188</v>
      </c>
      <c r="CO70" s="154" t="s">
        <v>189</v>
      </c>
      <c r="CV70" s="151" t="s">
        <v>185</v>
      </c>
      <c r="CW70" s="152" t="s">
        <v>186</v>
      </c>
      <c r="CX70" s="152" t="s">
        <v>187</v>
      </c>
      <c r="CY70" s="153" t="s">
        <v>188</v>
      </c>
      <c r="CZ70" s="154" t="s">
        <v>189</v>
      </c>
      <c r="DC70" s="151" t="s">
        <v>185</v>
      </c>
      <c r="DD70" s="152" t="s">
        <v>186</v>
      </c>
      <c r="DE70" s="152" t="s">
        <v>187</v>
      </c>
      <c r="DF70" s="153" t="s">
        <v>188</v>
      </c>
      <c r="DG70" s="154" t="s">
        <v>189</v>
      </c>
    </row>
    <row r="71" ht="12.0" customHeight="1">
      <c r="AX71" s="53"/>
      <c r="AY71" s="76">
        <v>56.14</v>
      </c>
      <c r="AZ71" s="78">
        <f t="shared" si="6"/>
        <v>31.6</v>
      </c>
      <c r="BG71" s="57"/>
      <c r="BH71" s="79">
        <f t="shared" si="7"/>
        <v>10.62</v>
      </c>
      <c r="BM71" s="77">
        <v>1.64</v>
      </c>
      <c r="BR71" s="72">
        <v>9.68</v>
      </c>
      <c r="BS71" s="75">
        <v>0.0</v>
      </c>
      <c r="BT71" s="75">
        <v>0.0</v>
      </c>
      <c r="BU71" s="72">
        <v>0.9</v>
      </c>
      <c r="BV71" s="72">
        <v>0.04</v>
      </c>
      <c r="BW71" s="83">
        <f t="shared" si="8"/>
        <v>10.62</v>
      </c>
      <c r="CK71" s="155" t="s">
        <v>12</v>
      </c>
      <c r="CL71" s="156">
        <f>CL67</f>
        <v>110</v>
      </c>
      <c r="CM71" s="154">
        <v>29.0</v>
      </c>
      <c r="CN71" s="157">
        <f>SUM(CL71:CM72)</f>
        <v>139</v>
      </c>
      <c r="CO71" s="158">
        <f>CN71/$CQ$69</f>
        <v>0.3130630631</v>
      </c>
      <c r="CV71" s="155" t="s">
        <v>12</v>
      </c>
      <c r="CW71" s="156">
        <f>CW67</f>
        <v>108</v>
      </c>
      <c r="CX71" s="154">
        <v>29.0</v>
      </c>
      <c r="CY71" s="157">
        <f>SUM(CW71:CX72)</f>
        <v>137</v>
      </c>
      <c r="CZ71" s="158">
        <f>CY71/$CQ$69</f>
        <v>0.3085585586</v>
      </c>
      <c r="DC71" s="159" t="s">
        <v>190</v>
      </c>
      <c r="DD71" s="156">
        <f>DD67</f>
        <v>118</v>
      </c>
      <c r="DE71" s="154">
        <v>29.0</v>
      </c>
      <c r="DF71" s="157">
        <f>SUM(DD71:DE72)</f>
        <v>147</v>
      </c>
      <c r="DG71" s="158">
        <f>DF71/$CQ$69</f>
        <v>0.3310810811</v>
      </c>
    </row>
    <row r="72" ht="12.0" customHeight="1">
      <c r="AX72" s="53"/>
      <c r="AY72" s="76">
        <v>54.98</v>
      </c>
      <c r="AZ72" s="78">
        <f t="shared" si="6"/>
        <v>30.97</v>
      </c>
      <c r="BG72" s="57"/>
      <c r="BH72" s="79">
        <f t="shared" si="7"/>
        <v>9.4</v>
      </c>
      <c r="BM72" s="77">
        <v>4.65</v>
      </c>
      <c r="BR72" s="72">
        <v>7.94</v>
      </c>
      <c r="BS72" s="75">
        <v>0.0</v>
      </c>
      <c r="BT72" s="75">
        <v>0.0</v>
      </c>
      <c r="BU72" s="72">
        <v>0.41</v>
      </c>
      <c r="BV72" s="72">
        <v>1.05</v>
      </c>
      <c r="BW72" s="83">
        <f t="shared" si="8"/>
        <v>9.4</v>
      </c>
      <c r="CK72" s="160"/>
      <c r="CL72" s="64"/>
      <c r="CM72" s="53"/>
      <c r="CN72" s="57"/>
      <c r="CO72" s="111"/>
      <c r="CV72" s="160"/>
      <c r="CW72" s="121"/>
      <c r="CX72" s="111"/>
      <c r="CY72" s="57"/>
      <c r="CZ72" s="111"/>
      <c r="DC72" s="111"/>
      <c r="DD72" s="121"/>
      <c r="DE72" s="111"/>
      <c r="DF72" s="57"/>
      <c r="DG72" s="111"/>
    </row>
    <row r="73" ht="12.0" customHeight="1">
      <c r="K73" s="161"/>
      <c r="L73" s="149"/>
      <c r="M73" s="162"/>
      <c r="N73" s="149"/>
      <c r="O73" s="163"/>
      <c r="P73" s="149"/>
      <c r="Q73" s="164"/>
      <c r="R73" s="149"/>
      <c r="S73" s="165"/>
      <c r="T73" s="149"/>
      <c r="U73" s="166"/>
      <c r="V73" s="149"/>
      <c r="W73" s="167"/>
      <c r="X73" s="149"/>
      <c r="Y73" s="168"/>
      <c r="Z73" s="149"/>
      <c r="AA73" s="169"/>
      <c r="AB73" s="149"/>
      <c r="AC73" s="170"/>
      <c r="AD73" s="149"/>
      <c r="AE73" s="171"/>
      <c r="AF73" s="149"/>
      <c r="AG73" s="168"/>
      <c r="AH73" s="149"/>
      <c r="AI73" s="172"/>
      <c r="AJ73" s="149"/>
      <c r="AK73" s="168"/>
      <c r="AL73" s="149"/>
      <c r="AM73" s="173"/>
      <c r="AN73" s="149"/>
      <c r="AX73" s="53"/>
      <c r="AY73" s="76">
        <v>56.86</v>
      </c>
      <c r="AZ73" s="78">
        <f t="shared" si="6"/>
        <v>21.58</v>
      </c>
      <c r="BG73" s="57"/>
      <c r="BH73" s="79">
        <f t="shared" si="7"/>
        <v>18.81</v>
      </c>
      <c r="BM73" s="77">
        <v>2.75</v>
      </c>
      <c r="BR73" s="72">
        <v>17.18</v>
      </c>
      <c r="BS73" s="75">
        <v>0.0</v>
      </c>
      <c r="BT73" s="75">
        <v>0.0</v>
      </c>
      <c r="BU73" s="72">
        <v>0.01</v>
      </c>
      <c r="BV73" s="72">
        <v>1.62</v>
      </c>
      <c r="BW73" s="83">
        <f t="shared" si="8"/>
        <v>18.81</v>
      </c>
      <c r="CK73" s="174" t="s">
        <v>13</v>
      </c>
      <c r="CL73" s="154">
        <f>CM67</f>
        <v>49</v>
      </c>
      <c r="CM73" s="154">
        <v>11.0</v>
      </c>
      <c r="CN73" s="157">
        <f>SUM(CL73:CM74)</f>
        <v>60</v>
      </c>
      <c r="CO73" s="158">
        <f>CN73/$CQ$69</f>
        <v>0.1351351351</v>
      </c>
      <c r="CV73" s="175" t="s">
        <v>27</v>
      </c>
      <c r="CW73" s="56">
        <f>CX67</f>
        <v>183</v>
      </c>
      <c r="CX73" s="65">
        <v>30.0</v>
      </c>
      <c r="CY73" s="157">
        <f>SUM(CW73:CX74)</f>
        <v>213</v>
      </c>
      <c r="CZ73" s="158">
        <f>CY73/$CQ$69</f>
        <v>0.4797297297</v>
      </c>
      <c r="DC73" s="175" t="s">
        <v>27</v>
      </c>
      <c r="DD73" s="56">
        <f>DE67</f>
        <v>179</v>
      </c>
      <c r="DE73" s="65">
        <v>30.0</v>
      </c>
      <c r="DF73" s="157">
        <f>SUM(DD73:DE74)</f>
        <v>209</v>
      </c>
      <c r="DG73" s="158">
        <f>DF73/$CQ$69</f>
        <v>0.4707207207</v>
      </c>
    </row>
    <row r="74" ht="12.0" customHeight="1">
      <c r="K74" s="176" t="s">
        <v>12</v>
      </c>
      <c r="L74" s="149"/>
      <c r="M74" s="176" t="s">
        <v>13</v>
      </c>
      <c r="N74" s="149"/>
      <c r="O74" s="176" t="s">
        <v>14</v>
      </c>
      <c r="P74" s="149"/>
      <c r="Q74" s="176" t="s">
        <v>15</v>
      </c>
      <c r="R74" s="149"/>
      <c r="S74" s="176" t="s">
        <v>16</v>
      </c>
      <c r="T74" s="149"/>
      <c r="U74" s="176" t="s">
        <v>17</v>
      </c>
      <c r="V74" s="149"/>
      <c r="W74" s="177" t="s">
        <v>18</v>
      </c>
      <c r="X74" s="149"/>
      <c r="Y74" s="177" t="s">
        <v>19</v>
      </c>
      <c r="Z74" s="149"/>
      <c r="AA74" s="176" t="s">
        <v>20</v>
      </c>
      <c r="AB74" s="149"/>
      <c r="AC74" s="176" t="s">
        <v>21</v>
      </c>
      <c r="AD74" s="149"/>
      <c r="AE74" s="176" t="s">
        <v>22</v>
      </c>
      <c r="AF74" s="149"/>
      <c r="AG74" s="177" t="s">
        <v>23</v>
      </c>
      <c r="AH74" s="149"/>
      <c r="AI74" s="176" t="s">
        <v>24</v>
      </c>
      <c r="AJ74" s="149"/>
      <c r="AK74" s="176" t="s">
        <v>25</v>
      </c>
      <c r="AL74" s="149"/>
      <c r="AM74" s="177" t="s">
        <v>26</v>
      </c>
      <c r="AN74" s="149"/>
      <c r="AX74" s="53"/>
      <c r="AY74" s="90">
        <v>22.9</v>
      </c>
      <c r="AZ74" s="78">
        <f t="shared" si="6"/>
        <v>27.89</v>
      </c>
      <c r="BG74" s="57"/>
      <c r="BH74" s="79">
        <f t="shared" si="7"/>
        <v>27.57</v>
      </c>
      <c r="BM74" s="77">
        <v>21.64</v>
      </c>
      <c r="BR74" s="89">
        <v>23.81</v>
      </c>
      <c r="BS74" s="75">
        <v>0.0</v>
      </c>
      <c r="BT74" s="75">
        <v>0.0</v>
      </c>
      <c r="BU74" s="72">
        <v>0.46</v>
      </c>
      <c r="BV74" s="72">
        <v>3.3</v>
      </c>
      <c r="BW74" s="83">
        <f t="shared" si="8"/>
        <v>27.57</v>
      </c>
      <c r="CK74" s="111"/>
      <c r="CL74" s="111"/>
      <c r="CM74" s="111"/>
      <c r="CN74" s="57"/>
      <c r="CO74" s="111"/>
      <c r="CV74" s="160"/>
      <c r="CW74" s="64"/>
      <c r="CX74" s="53"/>
      <c r="CY74" s="57"/>
      <c r="CZ74" s="111"/>
      <c r="DC74" s="160"/>
      <c r="DD74" s="64"/>
      <c r="DE74" s="53"/>
      <c r="DF74" s="57"/>
      <c r="DG74" s="111"/>
    </row>
    <row r="75" ht="12.0" customHeight="1">
      <c r="H75" s="178" t="s">
        <v>9</v>
      </c>
      <c r="I75" s="178" t="s">
        <v>191</v>
      </c>
      <c r="J75" s="178" t="s">
        <v>11</v>
      </c>
      <c r="K75" s="179" t="s">
        <v>192</v>
      </c>
      <c r="L75" s="180" t="s">
        <v>193</v>
      </c>
      <c r="M75" s="181" t="s">
        <v>192</v>
      </c>
      <c r="N75" s="182" t="s">
        <v>193</v>
      </c>
      <c r="O75" s="179" t="s">
        <v>192</v>
      </c>
      <c r="P75" s="179" t="s">
        <v>193</v>
      </c>
      <c r="Q75" s="179" t="s">
        <v>192</v>
      </c>
      <c r="R75" s="179" t="s">
        <v>193</v>
      </c>
      <c r="S75" s="179" t="s">
        <v>192</v>
      </c>
      <c r="T75" s="179" t="s">
        <v>193</v>
      </c>
      <c r="U75" s="179" t="s">
        <v>192</v>
      </c>
      <c r="V75" s="179" t="s">
        <v>193</v>
      </c>
      <c r="W75" s="179" t="s">
        <v>192</v>
      </c>
      <c r="X75" s="179" t="s">
        <v>193</v>
      </c>
      <c r="Y75" s="179" t="s">
        <v>192</v>
      </c>
      <c r="Z75" s="179" t="s">
        <v>193</v>
      </c>
      <c r="AA75" s="179" t="s">
        <v>192</v>
      </c>
      <c r="AB75" s="179" t="s">
        <v>193</v>
      </c>
      <c r="AC75" s="179" t="s">
        <v>192</v>
      </c>
      <c r="AD75" s="179" t="s">
        <v>193</v>
      </c>
      <c r="AE75" s="179" t="s">
        <v>192</v>
      </c>
      <c r="AF75" s="179" t="s">
        <v>193</v>
      </c>
      <c r="AG75" s="179" t="s">
        <v>192</v>
      </c>
      <c r="AH75" s="179" t="s">
        <v>193</v>
      </c>
      <c r="AI75" s="179" t="s">
        <v>192</v>
      </c>
      <c r="AJ75" s="179" t="s">
        <v>193</v>
      </c>
      <c r="AK75" s="179" t="s">
        <v>192</v>
      </c>
      <c r="AL75" s="179" t="s">
        <v>193</v>
      </c>
      <c r="AM75" s="179" t="s">
        <v>192</v>
      </c>
      <c r="AN75" s="179" t="s">
        <v>193</v>
      </c>
      <c r="AX75" s="53"/>
      <c r="AY75" s="76">
        <v>27.32</v>
      </c>
      <c r="AZ75" s="78">
        <f t="shared" si="6"/>
        <v>42.01</v>
      </c>
      <c r="BG75" s="57"/>
      <c r="BH75" s="79">
        <f t="shared" si="7"/>
        <v>27.3</v>
      </c>
      <c r="BM75" s="77">
        <v>3.37</v>
      </c>
      <c r="BR75" s="72">
        <v>26.11</v>
      </c>
      <c r="BS75" s="75">
        <v>0.0</v>
      </c>
      <c r="BT75" s="75">
        <v>0.0</v>
      </c>
      <c r="BU75" s="72">
        <v>0.11</v>
      </c>
      <c r="BV75" s="72">
        <v>1.08</v>
      </c>
      <c r="BW75" s="83">
        <f t="shared" si="8"/>
        <v>27.3</v>
      </c>
      <c r="CK75" s="175" t="s">
        <v>27</v>
      </c>
      <c r="CL75" s="56">
        <f>CN67</f>
        <v>187</v>
      </c>
      <c r="CM75" s="65">
        <v>30.0</v>
      </c>
      <c r="CN75" s="157">
        <f>SUM(CL75:CM76)</f>
        <v>217</v>
      </c>
      <c r="CO75" s="158">
        <f>CN75/$CQ$69</f>
        <v>0.4887387387</v>
      </c>
      <c r="CV75" s="183" t="s">
        <v>194</v>
      </c>
      <c r="CW75" s="154">
        <f>CY67</f>
        <v>77</v>
      </c>
      <c r="CX75" s="154">
        <v>13.0</v>
      </c>
      <c r="CY75" s="157">
        <f>SUM(CW75:CX76)</f>
        <v>90</v>
      </c>
      <c r="CZ75" s="158">
        <f>CY75/$CQ$69</f>
        <v>0.2027027027</v>
      </c>
      <c r="DC75" s="183" t="s">
        <v>194</v>
      </c>
      <c r="DD75" s="154">
        <f>DF67</f>
        <v>75</v>
      </c>
      <c r="DE75" s="154">
        <v>13.0</v>
      </c>
      <c r="DF75" s="154">
        <f>SUM(DD75:DE76)</f>
        <v>88</v>
      </c>
      <c r="DG75" s="158">
        <f>DF75/$CQ$69</f>
        <v>0.1981981982</v>
      </c>
    </row>
    <row r="76" ht="12.0" customHeight="1">
      <c r="H76" s="184" t="s">
        <v>31</v>
      </c>
      <c r="I76" s="185">
        <v>1.0</v>
      </c>
      <c r="J76" s="185">
        <v>14.0</v>
      </c>
      <c r="K76" s="186">
        <v>41.99</v>
      </c>
      <c r="L76" s="187">
        <v>7.0</v>
      </c>
      <c r="M76" s="186">
        <v>12.59</v>
      </c>
      <c r="N76" s="188">
        <v>2.0</v>
      </c>
      <c r="O76" s="186" t="s">
        <v>34</v>
      </c>
      <c r="P76" s="189" t="s">
        <v>34</v>
      </c>
      <c r="Q76" s="186" t="s">
        <v>34</v>
      </c>
      <c r="R76" s="190" t="s">
        <v>34</v>
      </c>
      <c r="S76" s="186">
        <v>20.73</v>
      </c>
      <c r="T76" s="191">
        <v>3.0</v>
      </c>
      <c r="U76" s="186">
        <v>1.27</v>
      </c>
      <c r="V76" s="192">
        <v>0.0</v>
      </c>
      <c r="W76" s="186">
        <v>1.61</v>
      </c>
      <c r="X76" s="193">
        <v>0.0</v>
      </c>
      <c r="Y76" s="186" t="s">
        <v>34</v>
      </c>
      <c r="Z76" s="194" t="s">
        <v>34</v>
      </c>
      <c r="AA76" s="186">
        <v>6.7</v>
      </c>
      <c r="AB76" s="195">
        <v>1.0</v>
      </c>
      <c r="AC76" s="186" t="s">
        <v>34</v>
      </c>
      <c r="AD76" s="196" t="s">
        <v>34</v>
      </c>
      <c r="AE76" s="186">
        <v>4.73</v>
      </c>
      <c r="AF76" s="197">
        <v>0.0</v>
      </c>
      <c r="AG76" s="186" t="s">
        <v>34</v>
      </c>
      <c r="AH76" s="194" t="s">
        <v>34</v>
      </c>
      <c r="AI76" s="186" t="s">
        <v>34</v>
      </c>
      <c r="AJ76" s="198" t="s">
        <v>34</v>
      </c>
      <c r="AK76" s="186">
        <v>5.78</v>
      </c>
      <c r="AL76" s="194">
        <v>1.0</v>
      </c>
      <c r="AM76" s="186">
        <v>4.6</v>
      </c>
      <c r="AN76" s="199">
        <v>0.0</v>
      </c>
      <c r="AX76" s="53"/>
      <c r="AY76" s="76">
        <v>56.06</v>
      </c>
      <c r="AZ76" s="78">
        <f t="shared" si="6"/>
        <v>28.74</v>
      </c>
      <c r="BG76" s="57"/>
      <c r="BH76" s="79">
        <f t="shared" si="7"/>
        <v>11.36</v>
      </c>
      <c r="BM76" s="77">
        <v>3.84</v>
      </c>
      <c r="BR76" s="72">
        <v>10.7</v>
      </c>
      <c r="BS76" s="75">
        <v>0.0</v>
      </c>
      <c r="BT76" s="75">
        <v>0.0</v>
      </c>
      <c r="BU76" s="72">
        <v>0.12</v>
      </c>
      <c r="BV76" s="72">
        <v>0.54</v>
      </c>
      <c r="BW76" s="83">
        <f t="shared" si="8"/>
        <v>11.36</v>
      </c>
      <c r="CK76" s="160"/>
      <c r="CL76" s="64"/>
      <c r="CM76" s="53"/>
      <c r="CN76" s="57"/>
      <c r="CO76" s="111"/>
      <c r="CV76" s="111"/>
      <c r="CW76" s="111"/>
      <c r="CX76" s="111"/>
      <c r="CY76" s="57"/>
      <c r="CZ76" s="111"/>
      <c r="DC76" s="111"/>
      <c r="DD76" s="111"/>
      <c r="DE76" s="111"/>
      <c r="DF76" s="111"/>
      <c r="DG76" s="111"/>
    </row>
    <row r="77" ht="12.0" customHeight="1">
      <c r="H77" s="184" t="s">
        <v>31</v>
      </c>
      <c r="I77" s="185">
        <v>2.0</v>
      </c>
      <c r="J77" s="185">
        <v>5.0</v>
      </c>
      <c r="K77" s="200">
        <v>56.14</v>
      </c>
      <c r="L77" s="201">
        <v>4.0</v>
      </c>
      <c r="M77" s="200">
        <v>9.68</v>
      </c>
      <c r="N77" s="202">
        <v>0.0</v>
      </c>
      <c r="O77" s="200">
        <v>8.92</v>
      </c>
      <c r="P77" s="203">
        <v>0.0</v>
      </c>
      <c r="Q77" s="200">
        <v>9.19</v>
      </c>
      <c r="R77" s="204">
        <v>0.0</v>
      </c>
      <c r="S77" s="200">
        <v>11.49</v>
      </c>
      <c r="T77" s="205">
        <v>1.0</v>
      </c>
      <c r="U77" s="200" t="s">
        <v>34</v>
      </c>
      <c r="V77" s="206" t="s">
        <v>34</v>
      </c>
      <c r="W77" s="200">
        <v>1.64</v>
      </c>
      <c r="X77" s="207">
        <v>0.0</v>
      </c>
      <c r="Y77" s="200" t="s">
        <v>34</v>
      </c>
      <c r="Z77" s="208" t="s">
        <v>34</v>
      </c>
      <c r="AA77" s="200">
        <v>1.13</v>
      </c>
      <c r="AB77" s="209">
        <v>0.0</v>
      </c>
      <c r="AC77" s="200">
        <v>0.03</v>
      </c>
      <c r="AD77" s="210">
        <v>0.0</v>
      </c>
      <c r="AE77" s="200">
        <v>0.84</v>
      </c>
      <c r="AF77" s="211">
        <v>0.0</v>
      </c>
      <c r="AG77" s="200" t="s">
        <v>34</v>
      </c>
      <c r="AH77" s="208" t="s">
        <v>34</v>
      </c>
      <c r="AI77" s="200" t="s">
        <v>34</v>
      </c>
      <c r="AJ77" s="212" t="s">
        <v>34</v>
      </c>
      <c r="AK77" s="200">
        <v>0.9</v>
      </c>
      <c r="AL77" s="208">
        <v>0.0</v>
      </c>
      <c r="AM77" s="200">
        <v>0.04</v>
      </c>
      <c r="AN77" s="213">
        <v>0.0</v>
      </c>
      <c r="AX77" s="53"/>
      <c r="AY77" s="76">
        <v>55.18</v>
      </c>
      <c r="AZ77" s="78">
        <f t="shared" si="6"/>
        <v>32.56</v>
      </c>
      <c r="BG77" s="57"/>
      <c r="BH77" s="79">
        <f t="shared" si="7"/>
        <v>9.27</v>
      </c>
      <c r="BM77" s="77">
        <v>2.99</v>
      </c>
      <c r="BR77" s="72">
        <v>9.27</v>
      </c>
      <c r="BS77" s="75">
        <v>0.0</v>
      </c>
      <c r="BT77" s="75">
        <v>0.0</v>
      </c>
      <c r="BU77" s="72">
        <v>0.0</v>
      </c>
      <c r="BV77" s="72">
        <v>0.0</v>
      </c>
      <c r="BW77" s="83">
        <f t="shared" si="8"/>
        <v>9.27</v>
      </c>
      <c r="CK77" s="214" t="s">
        <v>18</v>
      </c>
      <c r="CL77" s="126">
        <f>CO67</f>
        <v>4</v>
      </c>
      <c r="CM77" s="151">
        <v>0.0</v>
      </c>
      <c r="CN77" s="153">
        <f t="shared" ref="CN77:CN81" si="9">SUM(CL77:CM77)</f>
        <v>4</v>
      </c>
      <c r="CO77" s="215">
        <f t="shared" ref="CO77:CO81" si="10">CN77/$CQ$69</f>
        <v>0.009009009009</v>
      </c>
      <c r="CV77" s="214" t="s">
        <v>18</v>
      </c>
      <c r="CW77" s="126">
        <f>CZ67</f>
        <v>4</v>
      </c>
      <c r="CX77" s="151">
        <v>0.0</v>
      </c>
      <c r="CY77" s="153">
        <f>SUM(CW77:CX77)</f>
        <v>4</v>
      </c>
      <c r="CZ77" s="215">
        <f>CY77/$CQ$69</f>
        <v>0.009009009009</v>
      </c>
    </row>
    <row r="78" ht="12.0" customHeight="1">
      <c r="H78" s="184" t="s">
        <v>37</v>
      </c>
      <c r="I78" s="185">
        <v>3.0</v>
      </c>
      <c r="J78" s="185">
        <v>4.0</v>
      </c>
      <c r="K78" s="200">
        <v>54.98</v>
      </c>
      <c r="L78" s="201">
        <v>4.0</v>
      </c>
      <c r="M78" s="200">
        <v>7.94</v>
      </c>
      <c r="N78" s="202">
        <v>0.0</v>
      </c>
      <c r="O78" s="200">
        <v>10.84</v>
      </c>
      <c r="P78" s="203">
        <v>0.0</v>
      </c>
      <c r="Q78" s="200">
        <v>10.5</v>
      </c>
      <c r="R78" s="204">
        <v>0.0</v>
      </c>
      <c r="S78" s="200">
        <v>7.99</v>
      </c>
      <c r="T78" s="205">
        <v>0.0</v>
      </c>
      <c r="U78" s="200">
        <v>0.63</v>
      </c>
      <c r="V78" s="206">
        <v>0.0</v>
      </c>
      <c r="W78" s="200">
        <v>4.65</v>
      </c>
      <c r="X78" s="207">
        <v>0.0</v>
      </c>
      <c r="Y78" s="200" t="s">
        <v>34</v>
      </c>
      <c r="Z78" s="208" t="s">
        <v>34</v>
      </c>
      <c r="AA78" s="200">
        <v>0.24</v>
      </c>
      <c r="AB78" s="209">
        <v>0.0</v>
      </c>
      <c r="AC78" s="200" t="s">
        <v>34</v>
      </c>
      <c r="AD78" s="210" t="s">
        <v>34</v>
      </c>
      <c r="AE78" s="200">
        <v>0.77</v>
      </c>
      <c r="AF78" s="211">
        <v>0.0</v>
      </c>
      <c r="AG78" s="200" t="s">
        <v>34</v>
      </c>
      <c r="AH78" s="208" t="s">
        <v>34</v>
      </c>
      <c r="AI78" s="200" t="s">
        <v>34</v>
      </c>
      <c r="AJ78" s="212" t="s">
        <v>34</v>
      </c>
      <c r="AK78" s="200">
        <v>0.41</v>
      </c>
      <c r="AL78" s="208">
        <v>0.0</v>
      </c>
      <c r="AM78" s="200">
        <v>1.05</v>
      </c>
      <c r="AN78" s="213">
        <v>0.0</v>
      </c>
      <c r="AX78" s="53"/>
      <c r="AY78" s="76">
        <v>46.91</v>
      </c>
      <c r="AZ78" s="78">
        <f t="shared" si="6"/>
        <v>38.03</v>
      </c>
      <c r="BG78" s="57"/>
      <c r="BH78" s="79">
        <f t="shared" si="7"/>
        <v>13.73</v>
      </c>
      <c r="BM78" s="77">
        <v>1.33</v>
      </c>
      <c r="BR78" s="72">
        <v>12.95</v>
      </c>
      <c r="BS78" s="75">
        <v>0.0</v>
      </c>
      <c r="BT78" s="75">
        <v>0.0</v>
      </c>
      <c r="BU78" s="75">
        <v>0.0</v>
      </c>
      <c r="BV78" s="72">
        <v>0.78</v>
      </c>
      <c r="BW78" s="83">
        <f t="shared" si="8"/>
        <v>13.73</v>
      </c>
      <c r="CK78" s="216" t="s">
        <v>19</v>
      </c>
      <c r="CL78" s="56">
        <f>CP67</f>
        <v>11</v>
      </c>
      <c r="CM78" s="65">
        <v>2.0</v>
      </c>
      <c r="CN78" s="153">
        <f t="shared" si="9"/>
        <v>13</v>
      </c>
      <c r="CO78" s="215">
        <f t="shared" si="10"/>
        <v>0.02927927928</v>
      </c>
    </row>
    <row r="79" ht="12.0" customHeight="1">
      <c r="H79" s="184" t="s">
        <v>39</v>
      </c>
      <c r="I79" s="185">
        <v>4.0</v>
      </c>
      <c r="J79" s="185">
        <v>4.0</v>
      </c>
      <c r="K79" s="200">
        <v>56.86</v>
      </c>
      <c r="L79" s="201">
        <v>3.0</v>
      </c>
      <c r="M79" s="200">
        <v>17.18</v>
      </c>
      <c r="N79" s="202">
        <v>1.0</v>
      </c>
      <c r="O79" s="200">
        <v>1.31</v>
      </c>
      <c r="P79" s="203">
        <v>0.0</v>
      </c>
      <c r="Q79" s="200">
        <v>14.95</v>
      </c>
      <c r="R79" s="204">
        <v>0.0</v>
      </c>
      <c r="S79" s="200">
        <v>3.68</v>
      </c>
      <c r="T79" s="205">
        <v>0.0</v>
      </c>
      <c r="U79" s="200">
        <v>0.12</v>
      </c>
      <c r="V79" s="206">
        <v>0.0</v>
      </c>
      <c r="W79" s="200">
        <v>2.75</v>
      </c>
      <c r="X79" s="207">
        <v>0.0</v>
      </c>
      <c r="Y79" s="200" t="s">
        <v>34</v>
      </c>
      <c r="Z79" s="208" t="s">
        <v>34</v>
      </c>
      <c r="AA79" s="200" t="s">
        <v>34</v>
      </c>
      <c r="AB79" s="209" t="s">
        <v>34</v>
      </c>
      <c r="AC79" s="200">
        <v>0.78</v>
      </c>
      <c r="AD79" s="210">
        <v>0.0</v>
      </c>
      <c r="AE79" s="200">
        <v>0.74</v>
      </c>
      <c r="AF79" s="211">
        <v>0.0</v>
      </c>
      <c r="AG79" s="200" t="s">
        <v>34</v>
      </c>
      <c r="AH79" s="208" t="s">
        <v>34</v>
      </c>
      <c r="AI79" s="200" t="s">
        <v>34</v>
      </c>
      <c r="AJ79" s="212" t="s">
        <v>34</v>
      </c>
      <c r="AK79" s="200">
        <v>0.01</v>
      </c>
      <c r="AL79" s="208">
        <v>0.0</v>
      </c>
      <c r="AM79" s="200">
        <v>1.62</v>
      </c>
      <c r="AN79" s="213">
        <v>0.0</v>
      </c>
      <c r="AX79" s="53"/>
      <c r="AY79" s="76">
        <v>40.59</v>
      </c>
      <c r="AZ79" s="78">
        <f t="shared" si="6"/>
        <v>37.9</v>
      </c>
      <c r="BG79" s="57"/>
      <c r="BH79" s="79">
        <f t="shared" si="7"/>
        <v>16.04</v>
      </c>
      <c r="BM79" s="77">
        <v>5.47</v>
      </c>
      <c r="BR79" s="72">
        <v>15.53</v>
      </c>
      <c r="BS79" s="75">
        <v>0.0</v>
      </c>
      <c r="BT79" s="75">
        <v>0.0</v>
      </c>
      <c r="BU79" s="72">
        <v>0.11</v>
      </c>
      <c r="BV79" s="72">
        <v>0.4</v>
      </c>
      <c r="BW79" s="83">
        <f t="shared" si="8"/>
        <v>16.04</v>
      </c>
      <c r="CK79" s="217" t="s">
        <v>23</v>
      </c>
      <c r="CL79" s="126">
        <f>CQ67</f>
        <v>1</v>
      </c>
      <c r="CM79" s="151">
        <v>0.0</v>
      </c>
      <c r="CN79" s="153">
        <f t="shared" si="9"/>
        <v>1</v>
      </c>
      <c r="CO79" s="215">
        <f t="shared" si="10"/>
        <v>0.002252252252</v>
      </c>
    </row>
    <row r="80" ht="12.0" customHeight="1">
      <c r="H80" s="184" t="s">
        <v>41</v>
      </c>
      <c r="I80" s="185">
        <v>5.0</v>
      </c>
      <c r="J80" s="185">
        <v>6.0</v>
      </c>
      <c r="K80" s="200">
        <v>22.9</v>
      </c>
      <c r="L80" s="201">
        <v>2.0</v>
      </c>
      <c r="M80" s="200">
        <v>23.81</v>
      </c>
      <c r="N80" s="202">
        <v>2.0</v>
      </c>
      <c r="O80" s="200">
        <v>14.6</v>
      </c>
      <c r="P80" s="203">
        <v>1.0</v>
      </c>
      <c r="Q80" s="200">
        <v>2.72</v>
      </c>
      <c r="R80" s="204">
        <v>0.0</v>
      </c>
      <c r="S80" s="200">
        <v>2.15</v>
      </c>
      <c r="T80" s="205">
        <v>0.0</v>
      </c>
      <c r="U80" s="200">
        <v>3.43</v>
      </c>
      <c r="V80" s="206">
        <v>0.0</v>
      </c>
      <c r="W80" s="200">
        <v>21.64</v>
      </c>
      <c r="X80" s="207">
        <v>1.0</v>
      </c>
      <c r="Y80" s="200" t="s">
        <v>34</v>
      </c>
      <c r="Z80" s="208" t="s">
        <v>34</v>
      </c>
      <c r="AA80" s="200">
        <v>0.83</v>
      </c>
      <c r="AB80" s="209">
        <v>0.0</v>
      </c>
      <c r="AC80" s="200">
        <v>0.17</v>
      </c>
      <c r="AD80" s="210">
        <v>0.0</v>
      </c>
      <c r="AE80" s="200">
        <v>3.99</v>
      </c>
      <c r="AF80" s="211">
        <v>0.0</v>
      </c>
      <c r="AG80" s="200" t="s">
        <v>34</v>
      </c>
      <c r="AH80" s="208" t="s">
        <v>34</v>
      </c>
      <c r="AI80" s="200" t="s">
        <v>34</v>
      </c>
      <c r="AJ80" s="212" t="s">
        <v>34</v>
      </c>
      <c r="AK80" s="200">
        <v>0.46</v>
      </c>
      <c r="AL80" s="208">
        <v>0.0</v>
      </c>
      <c r="AM80" s="200">
        <v>3.3</v>
      </c>
      <c r="AN80" s="213">
        <v>0.0</v>
      </c>
      <c r="AX80" s="53"/>
      <c r="AY80" s="76">
        <v>34.79</v>
      </c>
      <c r="AZ80" s="78">
        <f t="shared" si="6"/>
        <v>53.4</v>
      </c>
      <c r="BG80" s="57"/>
      <c r="BH80" s="79">
        <f t="shared" si="7"/>
        <v>10.73</v>
      </c>
      <c r="BM80" s="77">
        <v>1.08</v>
      </c>
      <c r="BR80" s="72">
        <v>10.2</v>
      </c>
      <c r="BS80" s="75">
        <v>0.0</v>
      </c>
      <c r="BT80" s="75">
        <v>0.0</v>
      </c>
      <c r="BU80" s="72">
        <v>0.3</v>
      </c>
      <c r="BV80" s="72">
        <v>0.23</v>
      </c>
      <c r="BW80" s="83">
        <f t="shared" si="8"/>
        <v>10.73</v>
      </c>
      <c r="CK80" s="218" t="s">
        <v>25</v>
      </c>
      <c r="CL80" s="56">
        <f>CR67</f>
        <v>0</v>
      </c>
      <c r="CM80" s="65">
        <v>0.0</v>
      </c>
      <c r="CN80" s="153">
        <f t="shared" si="9"/>
        <v>0</v>
      </c>
      <c r="CO80" s="215">
        <f t="shared" si="10"/>
        <v>0</v>
      </c>
    </row>
    <row r="81" ht="12.0" customHeight="1">
      <c r="H81" s="184" t="s">
        <v>43</v>
      </c>
      <c r="I81" s="185">
        <v>6.0</v>
      </c>
      <c r="J81" s="185">
        <v>4.0</v>
      </c>
      <c r="K81" s="200">
        <v>27.32</v>
      </c>
      <c r="L81" s="201">
        <v>2.0</v>
      </c>
      <c r="M81" s="200">
        <v>26.11</v>
      </c>
      <c r="N81" s="202">
        <v>1.0</v>
      </c>
      <c r="O81" s="200">
        <v>21.01</v>
      </c>
      <c r="P81" s="203">
        <v>1.0</v>
      </c>
      <c r="Q81" s="200">
        <v>12.27</v>
      </c>
      <c r="R81" s="204">
        <v>0.0</v>
      </c>
      <c r="S81" s="200">
        <v>2.82</v>
      </c>
      <c r="T81" s="205">
        <v>0.0</v>
      </c>
      <c r="U81" s="200">
        <v>1.1</v>
      </c>
      <c r="V81" s="206">
        <v>0.0</v>
      </c>
      <c r="W81" s="200">
        <v>3.37</v>
      </c>
      <c r="X81" s="207">
        <v>0.0</v>
      </c>
      <c r="Y81" s="200" t="s">
        <v>34</v>
      </c>
      <c r="Z81" s="208" t="s">
        <v>34</v>
      </c>
      <c r="AA81" s="200">
        <v>4.32</v>
      </c>
      <c r="AB81" s="209">
        <v>0.0</v>
      </c>
      <c r="AC81" s="200" t="s">
        <v>34</v>
      </c>
      <c r="AD81" s="210" t="s">
        <v>34</v>
      </c>
      <c r="AE81" s="200">
        <v>0.49</v>
      </c>
      <c r="AF81" s="211">
        <v>0.0</v>
      </c>
      <c r="AG81" s="200" t="s">
        <v>34</v>
      </c>
      <c r="AH81" s="208" t="s">
        <v>34</v>
      </c>
      <c r="AI81" s="200" t="s">
        <v>34</v>
      </c>
      <c r="AJ81" s="212" t="s">
        <v>34</v>
      </c>
      <c r="AK81" s="200">
        <v>0.11</v>
      </c>
      <c r="AL81" s="208">
        <v>0.0</v>
      </c>
      <c r="AM81" s="200">
        <v>1.08</v>
      </c>
      <c r="AN81" s="213">
        <v>0.0</v>
      </c>
      <c r="AX81" s="53"/>
      <c r="AY81" s="76">
        <v>34.64</v>
      </c>
      <c r="AZ81" s="78">
        <f t="shared" si="6"/>
        <v>53.62</v>
      </c>
      <c r="BG81" s="57"/>
      <c r="BH81" s="79">
        <f t="shared" si="7"/>
        <v>10.45</v>
      </c>
      <c r="BM81" s="77">
        <v>1.29</v>
      </c>
      <c r="BR81" s="72">
        <v>8.91</v>
      </c>
      <c r="BS81" s="75">
        <v>0.0</v>
      </c>
      <c r="BT81" s="75">
        <v>0.0</v>
      </c>
      <c r="BU81" s="72">
        <v>0.53</v>
      </c>
      <c r="BV81" s="72">
        <v>1.01</v>
      </c>
      <c r="BW81" s="83">
        <f t="shared" si="8"/>
        <v>10.45</v>
      </c>
      <c r="CK81" s="219" t="s">
        <v>26</v>
      </c>
      <c r="CL81" s="126">
        <f>CS67</f>
        <v>10</v>
      </c>
      <c r="CM81" s="151">
        <v>0.0</v>
      </c>
      <c r="CN81" s="153">
        <f t="shared" si="9"/>
        <v>10</v>
      </c>
      <c r="CO81" s="215">
        <f t="shared" si="10"/>
        <v>0.02252252252</v>
      </c>
    </row>
    <row r="82" ht="12.0" customHeight="1">
      <c r="H82" s="184" t="s">
        <v>46</v>
      </c>
      <c r="I82" s="185">
        <v>7.0</v>
      </c>
      <c r="J82" s="185">
        <v>4.0</v>
      </c>
      <c r="K82" s="200">
        <v>56.06</v>
      </c>
      <c r="L82" s="201">
        <v>4.0</v>
      </c>
      <c r="M82" s="200">
        <v>10.7</v>
      </c>
      <c r="N82" s="202">
        <v>0.0</v>
      </c>
      <c r="O82" s="200">
        <v>7.15</v>
      </c>
      <c r="P82" s="203">
        <v>0.0</v>
      </c>
      <c r="Q82" s="200">
        <v>13.2</v>
      </c>
      <c r="R82" s="204">
        <v>0.0</v>
      </c>
      <c r="S82" s="200">
        <v>6.72</v>
      </c>
      <c r="T82" s="205">
        <v>0.0</v>
      </c>
      <c r="U82" s="200" t="s">
        <v>34</v>
      </c>
      <c r="V82" s="206" t="s">
        <v>34</v>
      </c>
      <c r="W82" s="200">
        <v>3.84</v>
      </c>
      <c r="X82" s="207">
        <v>0.0</v>
      </c>
      <c r="Y82" s="200" t="s">
        <v>34</v>
      </c>
      <c r="Z82" s="208" t="s">
        <v>34</v>
      </c>
      <c r="AA82" s="200" t="s">
        <v>34</v>
      </c>
      <c r="AB82" s="209" t="s">
        <v>34</v>
      </c>
      <c r="AC82" s="200">
        <v>1.23</v>
      </c>
      <c r="AD82" s="210">
        <v>0.0</v>
      </c>
      <c r="AE82" s="200">
        <v>0.44</v>
      </c>
      <c r="AF82" s="211">
        <v>0.0</v>
      </c>
      <c r="AG82" s="200" t="s">
        <v>34</v>
      </c>
      <c r="AH82" s="208" t="s">
        <v>34</v>
      </c>
      <c r="AI82" s="200" t="s">
        <v>34</v>
      </c>
      <c r="AJ82" s="212" t="s">
        <v>34</v>
      </c>
      <c r="AK82" s="200">
        <v>0.12</v>
      </c>
      <c r="AL82" s="208">
        <v>0.0</v>
      </c>
      <c r="AM82" s="200">
        <v>0.54</v>
      </c>
      <c r="AN82" s="213">
        <v>0.0</v>
      </c>
      <c r="AX82" s="53"/>
      <c r="AY82" s="76">
        <v>28.01</v>
      </c>
      <c r="AZ82" s="78">
        <f t="shared" si="6"/>
        <v>40.14</v>
      </c>
      <c r="BG82" s="57"/>
      <c r="BH82" s="79">
        <f t="shared" si="7"/>
        <v>31.85</v>
      </c>
      <c r="BM82" s="80">
        <v>0.0</v>
      </c>
      <c r="BR82" s="72">
        <v>26.96</v>
      </c>
      <c r="BS82" s="75">
        <v>0.0</v>
      </c>
      <c r="BT82" s="75">
        <v>0.0</v>
      </c>
      <c r="BU82" s="72">
        <v>2.15</v>
      </c>
      <c r="BV82" s="72">
        <v>2.74</v>
      </c>
      <c r="BW82" s="83">
        <f t="shared" si="8"/>
        <v>31.85</v>
      </c>
    </row>
    <row r="83" ht="12.0" customHeight="1">
      <c r="H83" s="184" t="s">
        <v>48</v>
      </c>
      <c r="I83" s="185">
        <v>8.0</v>
      </c>
      <c r="J83" s="185">
        <v>5.0</v>
      </c>
      <c r="K83" s="200">
        <v>55.18</v>
      </c>
      <c r="L83" s="201">
        <v>4.0</v>
      </c>
      <c r="M83" s="200">
        <v>9.27</v>
      </c>
      <c r="N83" s="202">
        <v>0.0</v>
      </c>
      <c r="O83" s="200">
        <v>6.05</v>
      </c>
      <c r="P83" s="203">
        <v>0.0</v>
      </c>
      <c r="Q83" s="200">
        <v>13.89</v>
      </c>
      <c r="R83" s="204">
        <v>1.0</v>
      </c>
      <c r="S83" s="200">
        <v>10.72</v>
      </c>
      <c r="T83" s="205">
        <v>0.0</v>
      </c>
      <c r="U83" s="200">
        <v>0.24</v>
      </c>
      <c r="V83" s="206">
        <v>0.0</v>
      </c>
      <c r="W83" s="200">
        <v>2.99</v>
      </c>
      <c r="X83" s="207">
        <v>0.0</v>
      </c>
      <c r="Y83" s="200" t="s">
        <v>34</v>
      </c>
      <c r="Z83" s="208" t="s">
        <v>34</v>
      </c>
      <c r="AA83" s="200">
        <v>0.47</v>
      </c>
      <c r="AB83" s="209">
        <v>0.0</v>
      </c>
      <c r="AC83" s="200">
        <v>0.67</v>
      </c>
      <c r="AD83" s="210">
        <v>0.0</v>
      </c>
      <c r="AE83" s="200">
        <v>0.52</v>
      </c>
      <c r="AF83" s="211">
        <v>0.0</v>
      </c>
      <c r="AG83" s="200" t="s">
        <v>34</v>
      </c>
      <c r="AH83" s="208" t="s">
        <v>34</v>
      </c>
      <c r="AI83" s="200" t="s">
        <v>34</v>
      </c>
      <c r="AJ83" s="212" t="s">
        <v>34</v>
      </c>
      <c r="AK83" s="200">
        <v>0.0</v>
      </c>
      <c r="AL83" s="208">
        <v>0.0</v>
      </c>
      <c r="AM83" s="200">
        <v>0.0</v>
      </c>
      <c r="AN83" s="213">
        <v>0.0</v>
      </c>
      <c r="AX83" s="53"/>
      <c r="AY83" s="76">
        <v>36.0</v>
      </c>
      <c r="AZ83" s="78">
        <f t="shared" si="6"/>
        <v>43.18</v>
      </c>
      <c r="BG83" s="57"/>
      <c r="BH83" s="79">
        <f t="shared" si="7"/>
        <v>19.9</v>
      </c>
      <c r="BM83" s="77">
        <v>0.92</v>
      </c>
      <c r="BR83" s="72">
        <v>19.16</v>
      </c>
      <c r="BS83" s="75">
        <v>0.0</v>
      </c>
      <c r="BT83" s="75">
        <v>0.0</v>
      </c>
      <c r="BU83" s="75">
        <v>0.0</v>
      </c>
      <c r="BV83" s="72">
        <v>0.74</v>
      </c>
      <c r="BW83" s="83">
        <f t="shared" si="8"/>
        <v>19.9</v>
      </c>
    </row>
    <row r="84" ht="12.0" customHeight="1">
      <c r="H84" s="184" t="s">
        <v>50</v>
      </c>
      <c r="I84" s="185">
        <v>9.0</v>
      </c>
      <c r="J84" s="185">
        <v>5.0</v>
      </c>
      <c r="K84" s="200">
        <v>46.91</v>
      </c>
      <c r="L84" s="201">
        <v>3.0</v>
      </c>
      <c r="M84" s="200">
        <v>12.95</v>
      </c>
      <c r="N84" s="202">
        <v>0.0</v>
      </c>
      <c r="O84" s="200">
        <v>5.0</v>
      </c>
      <c r="P84" s="203">
        <v>0.0</v>
      </c>
      <c r="Q84" s="200">
        <v>13.27</v>
      </c>
      <c r="R84" s="204">
        <v>1.0</v>
      </c>
      <c r="S84" s="200">
        <v>18.36</v>
      </c>
      <c r="T84" s="205">
        <v>1.0</v>
      </c>
      <c r="U84" s="200">
        <v>0.16</v>
      </c>
      <c r="V84" s="206">
        <v>0.0</v>
      </c>
      <c r="W84" s="200">
        <v>1.33</v>
      </c>
      <c r="X84" s="207">
        <v>0.0</v>
      </c>
      <c r="Y84" s="200" t="s">
        <v>34</v>
      </c>
      <c r="Z84" s="208" t="s">
        <v>34</v>
      </c>
      <c r="AA84" s="200">
        <v>0.79</v>
      </c>
      <c r="AB84" s="209">
        <v>0.0</v>
      </c>
      <c r="AC84" s="200" t="s">
        <v>34</v>
      </c>
      <c r="AD84" s="210" t="s">
        <v>34</v>
      </c>
      <c r="AE84" s="200">
        <v>0.45</v>
      </c>
      <c r="AF84" s="211">
        <v>0.0</v>
      </c>
      <c r="AG84" s="200" t="s">
        <v>34</v>
      </c>
      <c r="AH84" s="208" t="s">
        <v>34</v>
      </c>
      <c r="AI84" s="200" t="s">
        <v>34</v>
      </c>
      <c r="AJ84" s="212" t="s">
        <v>34</v>
      </c>
      <c r="AK84" s="200" t="s">
        <v>34</v>
      </c>
      <c r="AL84" s="208" t="s">
        <v>34</v>
      </c>
      <c r="AM84" s="200">
        <v>0.78</v>
      </c>
      <c r="AN84" s="213">
        <v>0.0</v>
      </c>
      <c r="AX84" s="53"/>
      <c r="AY84" s="76">
        <v>32.91</v>
      </c>
      <c r="AZ84" s="78">
        <f t="shared" si="6"/>
        <v>44.71</v>
      </c>
      <c r="BG84" s="57"/>
      <c r="BH84" s="79">
        <f t="shared" si="7"/>
        <v>15.05</v>
      </c>
      <c r="BM84" s="77">
        <v>7.33</v>
      </c>
      <c r="BR84" s="72">
        <v>14.66</v>
      </c>
      <c r="BS84" s="75">
        <v>0.0</v>
      </c>
      <c r="BT84" s="75">
        <v>0.0</v>
      </c>
      <c r="BU84" s="75">
        <v>0.0</v>
      </c>
      <c r="BV84" s="72">
        <v>0.39</v>
      </c>
      <c r="BW84" s="83">
        <f t="shared" si="8"/>
        <v>15.05</v>
      </c>
    </row>
    <row r="85" ht="12.0" customHeight="1">
      <c r="H85" s="184" t="s">
        <v>52</v>
      </c>
      <c r="I85" s="185">
        <v>10.0</v>
      </c>
      <c r="J85" s="185">
        <v>5.0</v>
      </c>
      <c r="K85" s="200">
        <v>40.59</v>
      </c>
      <c r="L85" s="201">
        <v>2.0</v>
      </c>
      <c r="M85" s="200">
        <v>15.53</v>
      </c>
      <c r="N85" s="202">
        <v>1.0</v>
      </c>
      <c r="O85" s="200">
        <v>3.26</v>
      </c>
      <c r="P85" s="203">
        <v>0.0</v>
      </c>
      <c r="Q85" s="200">
        <v>16.34</v>
      </c>
      <c r="R85" s="204">
        <v>1.0</v>
      </c>
      <c r="S85" s="200">
        <v>16.85</v>
      </c>
      <c r="T85" s="205">
        <v>1.0</v>
      </c>
      <c r="U85" s="200">
        <v>0.47</v>
      </c>
      <c r="V85" s="206">
        <v>0.0</v>
      </c>
      <c r="W85" s="200">
        <v>5.47</v>
      </c>
      <c r="X85" s="207">
        <v>0.0</v>
      </c>
      <c r="Y85" s="200" t="s">
        <v>34</v>
      </c>
      <c r="Z85" s="208" t="s">
        <v>34</v>
      </c>
      <c r="AA85" s="200" t="s">
        <v>34</v>
      </c>
      <c r="AB85" s="209" t="s">
        <v>34</v>
      </c>
      <c r="AC85" s="200">
        <v>0.03</v>
      </c>
      <c r="AD85" s="210">
        <v>0.0</v>
      </c>
      <c r="AE85" s="200">
        <v>0.95</v>
      </c>
      <c r="AF85" s="211">
        <v>0.0</v>
      </c>
      <c r="AG85" s="200" t="s">
        <v>34</v>
      </c>
      <c r="AH85" s="208" t="s">
        <v>34</v>
      </c>
      <c r="AI85" s="200" t="s">
        <v>34</v>
      </c>
      <c r="AJ85" s="212" t="s">
        <v>34</v>
      </c>
      <c r="AK85" s="200">
        <v>0.11</v>
      </c>
      <c r="AL85" s="208">
        <v>0.0</v>
      </c>
      <c r="AM85" s="200">
        <v>0.4</v>
      </c>
      <c r="AN85" s="213">
        <v>0.0</v>
      </c>
      <c r="AX85" s="53"/>
      <c r="AY85" s="76">
        <v>29.45</v>
      </c>
      <c r="AZ85" s="78">
        <f t="shared" si="6"/>
        <v>51.86</v>
      </c>
      <c r="BG85" s="57"/>
      <c r="BH85" s="79">
        <f t="shared" si="7"/>
        <v>12.77</v>
      </c>
      <c r="BM85" s="77">
        <v>5.92</v>
      </c>
      <c r="BR85" s="72">
        <v>11.76</v>
      </c>
      <c r="BS85" s="75">
        <v>0.0</v>
      </c>
      <c r="BT85" s="75">
        <v>0.0</v>
      </c>
      <c r="BU85" s="72">
        <v>0.01</v>
      </c>
      <c r="BV85" s="72">
        <v>1.0</v>
      </c>
      <c r="BW85" s="83">
        <f t="shared" si="8"/>
        <v>12.77</v>
      </c>
    </row>
    <row r="86" ht="12.0" customHeight="1">
      <c r="H86" s="184" t="s">
        <v>54</v>
      </c>
      <c r="I86" s="185">
        <v>11.0</v>
      </c>
      <c r="J86" s="185">
        <v>5.0</v>
      </c>
      <c r="K86" s="200">
        <v>34.79</v>
      </c>
      <c r="L86" s="201">
        <v>3.0</v>
      </c>
      <c r="M86" s="200">
        <v>10.2</v>
      </c>
      <c r="N86" s="202">
        <v>0.0</v>
      </c>
      <c r="O86" s="200">
        <v>22.8</v>
      </c>
      <c r="P86" s="203">
        <v>1.0</v>
      </c>
      <c r="Q86" s="200">
        <v>10.21</v>
      </c>
      <c r="R86" s="204">
        <v>0.0</v>
      </c>
      <c r="S86" s="200">
        <v>17.69</v>
      </c>
      <c r="T86" s="205">
        <v>1.0</v>
      </c>
      <c r="U86" s="200">
        <v>0.48</v>
      </c>
      <c r="V86" s="206">
        <v>0.0</v>
      </c>
      <c r="W86" s="200">
        <v>1.08</v>
      </c>
      <c r="X86" s="207">
        <v>0.0</v>
      </c>
      <c r="Y86" s="200" t="s">
        <v>34</v>
      </c>
      <c r="Z86" s="208" t="s">
        <v>34</v>
      </c>
      <c r="AA86" s="200">
        <v>0.72</v>
      </c>
      <c r="AB86" s="209">
        <v>0.0</v>
      </c>
      <c r="AC86" s="200">
        <v>0.66</v>
      </c>
      <c r="AD86" s="210">
        <v>0.0</v>
      </c>
      <c r="AE86" s="200">
        <v>0.84</v>
      </c>
      <c r="AF86" s="211">
        <v>0.0</v>
      </c>
      <c r="AG86" s="200" t="s">
        <v>34</v>
      </c>
      <c r="AH86" s="208" t="s">
        <v>34</v>
      </c>
      <c r="AI86" s="200" t="s">
        <v>34</v>
      </c>
      <c r="AJ86" s="212" t="s">
        <v>34</v>
      </c>
      <c r="AK86" s="200">
        <v>0.3</v>
      </c>
      <c r="AL86" s="208">
        <v>0.0</v>
      </c>
      <c r="AM86" s="200">
        <v>0.23</v>
      </c>
      <c r="AN86" s="213">
        <v>0.0</v>
      </c>
      <c r="AX86" s="53"/>
      <c r="AY86" s="76">
        <v>31.71</v>
      </c>
      <c r="AZ86" s="78">
        <f t="shared" si="6"/>
        <v>47.2</v>
      </c>
      <c r="BG86" s="57"/>
      <c r="BH86" s="79">
        <f t="shared" si="7"/>
        <v>11.2</v>
      </c>
      <c r="BM86" s="77">
        <v>9.89</v>
      </c>
      <c r="BR86" s="72">
        <v>8.94</v>
      </c>
      <c r="BS86" s="75">
        <v>0.0</v>
      </c>
      <c r="BT86" s="75">
        <v>0.0</v>
      </c>
      <c r="BU86" s="72">
        <v>0.01</v>
      </c>
      <c r="BV86" s="72">
        <v>2.25</v>
      </c>
      <c r="BW86" s="83">
        <f t="shared" si="8"/>
        <v>11.2</v>
      </c>
      <c r="CK86" s="126" t="s">
        <v>187</v>
      </c>
      <c r="CL86" s="148"/>
      <c r="CM86" s="148"/>
      <c r="CN86" s="148"/>
      <c r="CO86" s="148"/>
      <c r="CP86" s="148"/>
      <c r="CQ86" s="148"/>
      <c r="CR86" s="148"/>
      <c r="CS86" s="148"/>
      <c r="CT86" s="148"/>
      <c r="CU86" s="148"/>
      <c r="CV86" s="148"/>
      <c r="CW86" s="148"/>
      <c r="CX86" s="148"/>
      <c r="CY86" s="149"/>
    </row>
    <row r="87" ht="12.0" customHeight="1">
      <c r="H87" s="184" t="s">
        <v>56</v>
      </c>
      <c r="I87" s="185">
        <v>12.0</v>
      </c>
      <c r="J87" s="185">
        <v>6.0</v>
      </c>
      <c r="K87" s="200">
        <v>34.64</v>
      </c>
      <c r="L87" s="201">
        <v>3.0</v>
      </c>
      <c r="M87" s="200">
        <v>8.91</v>
      </c>
      <c r="N87" s="202">
        <v>0.0</v>
      </c>
      <c r="O87" s="200">
        <v>12.49</v>
      </c>
      <c r="P87" s="203">
        <v>1.0</v>
      </c>
      <c r="Q87" s="200">
        <v>19.57</v>
      </c>
      <c r="R87" s="204">
        <v>1.0</v>
      </c>
      <c r="S87" s="200">
        <v>17.98</v>
      </c>
      <c r="T87" s="205">
        <v>1.0</v>
      </c>
      <c r="U87" s="200">
        <v>1.28</v>
      </c>
      <c r="V87" s="206">
        <v>0.0</v>
      </c>
      <c r="W87" s="200">
        <v>1.29</v>
      </c>
      <c r="X87" s="207">
        <v>0.0</v>
      </c>
      <c r="Y87" s="200" t="s">
        <v>34</v>
      </c>
      <c r="Z87" s="208" t="s">
        <v>34</v>
      </c>
      <c r="AA87" s="200">
        <v>1.41</v>
      </c>
      <c r="AB87" s="209">
        <v>0.0</v>
      </c>
      <c r="AC87" s="200" t="s">
        <v>34</v>
      </c>
      <c r="AD87" s="210" t="s">
        <v>34</v>
      </c>
      <c r="AE87" s="200">
        <v>0.89</v>
      </c>
      <c r="AF87" s="211">
        <v>0.0</v>
      </c>
      <c r="AG87" s="200" t="s">
        <v>34</v>
      </c>
      <c r="AH87" s="208" t="s">
        <v>34</v>
      </c>
      <c r="AI87" s="200" t="s">
        <v>34</v>
      </c>
      <c r="AJ87" s="212" t="s">
        <v>34</v>
      </c>
      <c r="AK87" s="200">
        <v>0.53</v>
      </c>
      <c r="AL87" s="208">
        <v>0.0</v>
      </c>
      <c r="AM87" s="200">
        <v>1.01</v>
      </c>
      <c r="AN87" s="213">
        <v>0.0</v>
      </c>
      <c r="AX87" s="53"/>
      <c r="AY87" s="76">
        <v>38.12</v>
      </c>
      <c r="AZ87" s="78">
        <f t="shared" si="6"/>
        <v>41.43</v>
      </c>
      <c r="BG87" s="57"/>
      <c r="BH87" s="79">
        <f t="shared" si="7"/>
        <v>19.02</v>
      </c>
      <c r="BM87" s="77">
        <v>1.43</v>
      </c>
      <c r="BR87" s="72">
        <v>17.31</v>
      </c>
      <c r="BS87" s="75">
        <v>0.0</v>
      </c>
      <c r="BT87" s="75">
        <v>0.0</v>
      </c>
      <c r="BU87" s="72">
        <v>0.17</v>
      </c>
      <c r="BV87" s="72">
        <v>1.54</v>
      </c>
      <c r="BW87" s="83">
        <f t="shared" si="8"/>
        <v>19.02</v>
      </c>
      <c r="CK87" s="220">
        <v>29.0</v>
      </c>
      <c r="CL87" s="221">
        <v>11.0</v>
      </c>
      <c r="CM87" s="222">
        <v>12.0</v>
      </c>
      <c r="CN87" s="222">
        <v>8.0</v>
      </c>
      <c r="CO87" s="222">
        <v>7.0</v>
      </c>
      <c r="CP87" s="222">
        <v>3.0</v>
      </c>
      <c r="CQ87" s="223" t="s">
        <v>34</v>
      </c>
      <c r="CR87" s="224">
        <v>2.0</v>
      </c>
      <c r="CS87" s="222" t="s">
        <v>34</v>
      </c>
      <c r="CT87" s="222" t="s">
        <v>34</v>
      </c>
      <c r="CU87" s="222" t="s">
        <v>34</v>
      </c>
      <c r="CV87" s="224" t="s">
        <v>34</v>
      </c>
      <c r="CW87" s="222" t="s">
        <v>34</v>
      </c>
      <c r="CX87" s="224" t="s">
        <v>34</v>
      </c>
      <c r="CY87" s="225" t="s">
        <v>34</v>
      </c>
    </row>
    <row r="88" ht="12.0" customHeight="1">
      <c r="H88" s="184" t="s">
        <v>58</v>
      </c>
      <c r="I88" s="185">
        <v>13.0</v>
      </c>
      <c r="J88" s="185">
        <v>7.0</v>
      </c>
      <c r="K88" s="200">
        <v>28.01</v>
      </c>
      <c r="L88" s="201">
        <v>3.0</v>
      </c>
      <c r="M88" s="200">
        <v>26.96</v>
      </c>
      <c r="N88" s="202">
        <v>2.0</v>
      </c>
      <c r="O88" s="200" t="s">
        <v>34</v>
      </c>
      <c r="P88" s="203" t="s">
        <v>34</v>
      </c>
      <c r="Q88" s="200" t="s">
        <v>34</v>
      </c>
      <c r="R88" s="204" t="s">
        <v>34</v>
      </c>
      <c r="S88" s="200">
        <v>8.65</v>
      </c>
      <c r="T88" s="205">
        <v>0.0</v>
      </c>
      <c r="U88" s="200">
        <v>19.59</v>
      </c>
      <c r="V88" s="206">
        <v>2.0</v>
      </c>
      <c r="W88" s="200" t="s">
        <v>34</v>
      </c>
      <c r="X88" s="207" t="s">
        <v>34</v>
      </c>
      <c r="Y88" s="200" t="s">
        <v>34</v>
      </c>
      <c r="Z88" s="208" t="s">
        <v>34</v>
      </c>
      <c r="AA88" s="200">
        <v>6.3</v>
      </c>
      <c r="AB88" s="209">
        <v>0.0</v>
      </c>
      <c r="AC88" s="200" t="s">
        <v>34</v>
      </c>
      <c r="AD88" s="210" t="s">
        <v>34</v>
      </c>
      <c r="AE88" s="200">
        <v>5.6</v>
      </c>
      <c r="AF88" s="211">
        <v>0.0</v>
      </c>
      <c r="AG88" s="200" t="s">
        <v>34</v>
      </c>
      <c r="AH88" s="208" t="s">
        <v>34</v>
      </c>
      <c r="AI88" s="200" t="s">
        <v>34</v>
      </c>
      <c r="AJ88" s="212" t="s">
        <v>34</v>
      </c>
      <c r="AK88" s="200">
        <v>2.15</v>
      </c>
      <c r="AL88" s="208">
        <v>0.0</v>
      </c>
      <c r="AM88" s="200">
        <v>2.74</v>
      </c>
      <c r="AN88" s="213">
        <v>0.0</v>
      </c>
      <c r="AX88" s="53"/>
      <c r="AY88" s="76">
        <v>34.39</v>
      </c>
      <c r="AZ88" s="78">
        <f t="shared" si="6"/>
        <v>51.47</v>
      </c>
      <c r="BG88" s="57"/>
      <c r="BH88" s="79">
        <f t="shared" si="7"/>
        <v>12.99</v>
      </c>
      <c r="BM88" s="77">
        <v>1.15</v>
      </c>
      <c r="BR88" s="72">
        <v>10.55</v>
      </c>
      <c r="BS88" s="75">
        <v>0.0</v>
      </c>
      <c r="BT88" s="75">
        <v>0.0</v>
      </c>
      <c r="BU88" s="72">
        <v>1.2</v>
      </c>
      <c r="BV88" s="72">
        <v>1.24</v>
      </c>
      <c r="BW88" s="83">
        <f t="shared" si="8"/>
        <v>12.99</v>
      </c>
    </row>
    <row r="89" ht="12.0" customHeight="1">
      <c r="H89" s="184" t="s">
        <v>58</v>
      </c>
      <c r="I89" s="185">
        <v>14.0</v>
      </c>
      <c r="J89" s="185">
        <v>6.0</v>
      </c>
      <c r="K89" s="200">
        <v>36.0</v>
      </c>
      <c r="L89" s="201">
        <v>3.0</v>
      </c>
      <c r="M89" s="200">
        <v>19.16</v>
      </c>
      <c r="N89" s="202">
        <v>1.0</v>
      </c>
      <c r="O89" s="200">
        <v>16.04</v>
      </c>
      <c r="P89" s="203">
        <v>1.0</v>
      </c>
      <c r="Q89" s="200">
        <v>10.56</v>
      </c>
      <c r="R89" s="204">
        <v>1.0</v>
      </c>
      <c r="S89" s="200">
        <v>8.74</v>
      </c>
      <c r="T89" s="205">
        <v>0.0</v>
      </c>
      <c r="U89" s="200">
        <v>6.54</v>
      </c>
      <c r="V89" s="206">
        <v>0.0</v>
      </c>
      <c r="W89" s="200">
        <v>0.92</v>
      </c>
      <c r="X89" s="207">
        <v>0.0</v>
      </c>
      <c r="Y89" s="200" t="s">
        <v>34</v>
      </c>
      <c r="Z89" s="208" t="s">
        <v>34</v>
      </c>
      <c r="AA89" s="200">
        <v>0.98</v>
      </c>
      <c r="AB89" s="209">
        <v>0.0</v>
      </c>
      <c r="AC89" s="200">
        <v>0.0</v>
      </c>
      <c r="AD89" s="210">
        <v>0.0</v>
      </c>
      <c r="AE89" s="200">
        <v>0.32</v>
      </c>
      <c r="AF89" s="211">
        <v>0.0</v>
      </c>
      <c r="AG89" s="200" t="s">
        <v>34</v>
      </c>
      <c r="AH89" s="208" t="s">
        <v>34</v>
      </c>
      <c r="AI89" s="200" t="s">
        <v>34</v>
      </c>
      <c r="AJ89" s="212" t="s">
        <v>34</v>
      </c>
      <c r="AK89" s="200" t="s">
        <v>34</v>
      </c>
      <c r="AL89" s="208" t="s">
        <v>34</v>
      </c>
      <c r="AM89" s="200">
        <v>0.74</v>
      </c>
      <c r="AN89" s="213">
        <v>0.0</v>
      </c>
      <c r="AX89" s="53"/>
      <c r="AY89" s="90">
        <v>27.47</v>
      </c>
      <c r="AZ89" s="78">
        <f t="shared" si="6"/>
        <v>60.86</v>
      </c>
      <c r="BG89" s="57"/>
      <c r="BH89" s="79">
        <f t="shared" si="7"/>
        <v>10.87</v>
      </c>
      <c r="BM89" s="77">
        <v>0.8</v>
      </c>
      <c r="BR89" s="72">
        <v>10.3</v>
      </c>
      <c r="BS89" s="75">
        <v>0.0</v>
      </c>
      <c r="BT89" s="75">
        <v>0.0</v>
      </c>
      <c r="BU89" s="75">
        <v>0.0</v>
      </c>
      <c r="BV89" s="72">
        <v>0.57</v>
      </c>
      <c r="BW89" s="83">
        <f t="shared" si="8"/>
        <v>10.87</v>
      </c>
    </row>
    <row r="90" ht="12.0" customHeight="1">
      <c r="H90" s="184" t="s">
        <v>63</v>
      </c>
      <c r="I90" s="185">
        <v>15.0</v>
      </c>
      <c r="J90" s="185">
        <v>6.0</v>
      </c>
      <c r="K90" s="200">
        <v>32.91</v>
      </c>
      <c r="L90" s="201">
        <v>3.0</v>
      </c>
      <c r="M90" s="200">
        <v>14.66</v>
      </c>
      <c r="N90" s="202">
        <v>1.0</v>
      </c>
      <c r="O90" s="200">
        <v>8.88</v>
      </c>
      <c r="P90" s="203">
        <v>0.0</v>
      </c>
      <c r="Q90" s="200">
        <v>17.09</v>
      </c>
      <c r="R90" s="204">
        <v>1.0</v>
      </c>
      <c r="S90" s="200">
        <v>15.22</v>
      </c>
      <c r="T90" s="205">
        <v>1.0</v>
      </c>
      <c r="U90" s="200">
        <v>1.88</v>
      </c>
      <c r="V90" s="206">
        <v>0.0</v>
      </c>
      <c r="W90" s="200">
        <v>7.33</v>
      </c>
      <c r="X90" s="207">
        <v>0.0</v>
      </c>
      <c r="Y90" s="200" t="s">
        <v>34</v>
      </c>
      <c r="Z90" s="208" t="s">
        <v>34</v>
      </c>
      <c r="AA90" s="200">
        <v>1.1</v>
      </c>
      <c r="AB90" s="209">
        <v>0.0</v>
      </c>
      <c r="AC90" s="200">
        <v>0.13</v>
      </c>
      <c r="AD90" s="210">
        <v>0.0</v>
      </c>
      <c r="AE90" s="200">
        <v>0.41</v>
      </c>
      <c r="AF90" s="211">
        <v>0.0</v>
      </c>
      <c r="AG90" s="200" t="s">
        <v>34</v>
      </c>
      <c r="AH90" s="208" t="s">
        <v>34</v>
      </c>
      <c r="AI90" s="200" t="s">
        <v>34</v>
      </c>
      <c r="AJ90" s="212" t="s">
        <v>34</v>
      </c>
      <c r="AK90" s="200" t="s">
        <v>34</v>
      </c>
      <c r="AL90" s="208" t="s">
        <v>34</v>
      </c>
      <c r="AM90" s="200">
        <v>0.39</v>
      </c>
      <c r="AN90" s="213">
        <v>0.0</v>
      </c>
      <c r="AX90" s="53"/>
      <c r="AY90" s="76">
        <v>28.94</v>
      </c>
      <c r="AZ90" s="78">
        <f t="shared" si="6"/>
        <v>56.1</v>
      </c>
      <c r="BG90" s="57"/>
      <c r="BH90" s="79">
        <f t="shared" si="7"/>
        <v>14.96</v>
      </c>
      <c r="BM90" s="80">
        <v>0.0</v>
      </c>
      <c r="BR90" s="72">
        <v>11.04</v>
      </c>
      <c r="BS90" s="75">
        <v>0.0</v>
      </c>
      <c r="BT90" s="75">
        <v>0.0</v>
      </c>
      <c r="BU90" s="75">
        <v>0.0</v>
      </c>
      <c r="BV90" s="72">
        <v>3.92</v>
      </c>
      <c r="BW90" s="83">
        <f t="shared" si="8"/>
        <v>14.96</v>
      </c>
    </row>
    <row r="91" ht="12.0" customHeight="1">
      <c r="H91" s="184" t="s">
        <v>65</v>
      </c>
      <c r="I91" s="185">
        <v>16.0</v>
      </c>
      <c r="J91" s="185">
        <v>7.0</v>
      </c>
      <c r="K91" s="200">
        <v>29.45</v>
      </c>
      <c r="L91" s="201">
        <v>2.0</v>
      </c>
      <c r="M91" s="200">
        <v>11.76</v>
      </c>
      <c r="N91" s="202">
        <v>1.0</v>
      </c>
      <c r="O91" s="200">
        <v>13.6</v>
      </c>
      <c r="P91" s="203">
        <v>1.0</v>
      </c>
      <c r="Q91" s="200">
        <v>24.01</v>
      </c>
      <c r="R91" s="204">
        <v>2.0</v>
      </c>
      <c r="S91" s="200">
        <v>11.12</v>
      </c>
      <c r="T91" s="205">
        <v>1.0</v>
      </c>
      <c r="U91" s="200">
        <v>0.58</v>
      </c>
      <c r="V91" s="206">
        <v>0.0</v>
      </c>
      <c r="W91" s="200">
        <v>5.92</v>
      </c>
      <c r="X91" s="207">
        <v>0.0</v>
      </c>
      <c r="Y91" s="200" t="s">
        <v>34</v>
      </c>
      <c r="Z91" s="208" t="s">
        <v>34</v>
      </c>
      <c r="AA91" s="200" t="s">
        <v>34</v>
      </c>
      <c r="AB91" s="209" t="s">
        <v>34</v>
      </c>
      <c r="AC91" s="200">
        <v>2.17</v>
      </c>
      <c r="AD91" s="210">
        <v>0.0</v>
      </c>
      <c r="AE91" s="200">
        <v>0.38</v>
      </c>
      <c r="AF91" s="211">
        <v>0.0</v>
      </c>
      <c r="AG91" s="200" t="s">
        <v>34</v>
      </c>
      <c r="AH91" s="208" t="s">
        <v>34</v>
      </c>
      <c r="AI91" s="200" t="s">
        <v>34</v>
      </c>
      <c r="AJ91" s="212" t="s">
        <v>34</v>
      </c>
      <c r="AK91" s="200">
        <v>0.01</v>
      </c>
      <c r="AL91" s="208">
        <v>0.0</v>
      </c>
      <c r="AM91" s="200">
        <v>1.0</v>
      </c>
      <c r="AN91" s="213">
        <v>0.0</v>
      </c>
      <c r="AX91" s="53"/>
      <c r="AY91" s="90">
        <v>17.73</v>
      </c>
      <c r="AZ91" s="99">
        <f t="shared" si="6"/>
        <v>70</v>
      </c>
      <c r="BG91" s="57"/>
      <c r="BH91" s="79">
        <f t="shared" si="7"/>
        <v>11.48</v>
      </c>
      <c r="BM91" s="77">
        <v>0.83</v>
      </c>
      <c r="BR91" s="72">
        <v>11.07</v>
      </c>
      <c r="BS91" s="75">
        <v>0.0</v>
      </c>
      <c r="BT91" s="75">
        <v>0.0</v>
      </c>
      <c r="BU91" s="72">
        <v>0.36</v>
      </c>
      <c r="BV91" s="72">
        <v>0.05</v>
      </c>
      <c r="BW91" s="83">
        <f t="shared" si="8"/>
        <v>11.48</v>
      </c>
      <c r="CM91" s="226">
        <f>SUM(CM87:CP87)</f>
        <v>30</v>
      </c>
    </row>
    <row r="92" ht="12.0" customHeight="1">
      <c r="H92" s="184" t="s">
        <v>67</v>
      </c>
      <c r="I92" s="185">
        <v>17.0</v>
      </c>
      <c r="J92" s="185">
        <v>6.0</v>
      </c>
      <c r="K92" s="200">
        <v>31.71</v>
      </c>
      <c r="L92" s="201">
        <v>3.0</v>
      </c>
      <c r="M92" s="200">
        <v>8.94</v>
      </c>
      <c r="N92" s="202">
        <v>0.0</v>
      </c>
      <c r="O92" s="200">
        <v>3.55</v>
      </c>
      <c r="P92" s="203">
        <v>0.0</v>
      </c>
      <c r="Q92" s="200">
        <v>29.02</v>
      </c>
      <c r="R92" s="204">
        <v>2.0</v>
      </c>
      <c r="S92" s="200">
        <v>11.14</v>
      </c>
      <c r="T92" s="205">
        <v>1.0</v>
      </c>
      <c r="U92" s="200">
        <v>2.39</v>
      </c>
      <c r="V92" s="206">
        <v>0.0</v>
      </c>
      <c r="W92" s="200">
        <v>9.89</v>
      </c>
      <c r="X92" s="207">
        <v>0.0</v>
      </c>
      <c r="Y92" s="200" t="s">
        <v>34</v>
      </c>
      <c r="Z92" s="208" t="s">
        <v>34</v>
      </c>
      <c r="AA92" s="200">
        <v>0.82</v>
      </c>
      <c r="AB92" s="209">
        <v>0.0</v>
      </c>
      <c r="AC92" s="200" t="s">
        <v>34</v>
      </c>
      <c r="AD92" s="210" t="s">
        <v>34</v>
      </c>
      <c r="AE92" s="200">
        <v>0.28</v>
      </c>
      <c r="AF92" s="211">
        <v>0.0</v>
      </c>
      <c r="AG92" s="200" t="s">
        <v>34</v>
      </c>
      <c r="AH92" s="208" t="s">
        <v>34</v>
      </c>
      <c r="AI92" s="200" t="s">
        <v>34</v>
      </c>
      <c r="AJ92" s="212" t="s">
        <v>34</v>
      </c>
      <c r="AK92" s="200">
        <v>0.01</v>
      </c>
      <c r="AL92" s="208">
        <v>0.0</v>
      </c>
      <c r="AM92" s="200">
        <v>2.25</v>
      </c>
      <c r="AN92" s="213">
        <v>0.0</v>
      </c>
      <c r="AX92" s="53"/>
      <c r="AY92" s="90">
        <v>16.05</v>
      </c>
      <c r="AZ92" s="78">
        <f t="shared" si="6"/>
        <v>67.55</v>
      </c>
      <c r="BG92" s="57"/>
      <c r="BH92" s="79">
        <f t="shared" si="7"/>
        <v>11.23</v>
      </c>
      <c r="BM92" s="77">
        <v>5.17</v>
      </c>
      <c r="BR92" s="72">
        <v>9.56</v>
      </c>
      <c r="BS92" s="75">
        <v>0.0</v>
      </c>
      <c r="BT92" s="75">
        <v>0.0</v>
      </c>
      <c r="BU92" s="72">
        <v>0.29</v>
      </c>
      <c r="BV92" s="72">
        <v>1.38</v>
      </c>
      <c r="BW92" s="83">
        <f t="shared" si="8"/>
        <v>11.23</v>
      </c>
      <c r="CQ92" s="227">
        <f>SUM(CL87,CR87)</f>
        <v>13</v>
      </c>
    </row>
    <row r="93" ht="12.0" customHeight="1">
      <c r="H93" s="184" t="s">
        <v>69</v>
      </c>
      <c r="I93" s="185">
        <v>18.0</v>
      </c>
      <c r="J93" s="185">
        <v>5.0</v>
      </c>
      <c r="K93" s="200">
        <v>38.12</v>
      </c>
      <c r="L93" s="201">
        <v>3.0</v>
      </c>
      <c r="M93" s="200">
        <v>17.31</v>
      </c>
      <c r="N93" s="202">
        <v>1.0</v>
      </c>
      <c r="O93" s="200">
        <v>13.4</v>
      </c>
      <c r="P93" s="203">
        <v>1.0</v>
      </c>
      <c r="Q93" s="200">
        <v>9.46</v>
      </c>
      <c r="R93" s="204">
        <v>0.0</v>
      </c>
      <c r="S93" s="200">
        <v>9.62</v>
      </c>
      <c r="T93" s="205">
        <v>0.0</v>
      </c>
      <c r="U93" s="200">
        <v>7.23</v>
      </c>
      <c r="V93" s="206">
        <v>0.0</v>
      </c>
      <c r="W93" s="200">
        <v>1.43</v>
      </c>
      <c r="X93" s="207">
        <v>0.0</v>
      </c>
      <c r="Y93" s="200" t="s">
        <v>34</v>
      </c>
      <c r="Z93" s="208" t="s">
        <v>34</v>
      </c>
      <c r="AA93" s="200" t="s">
        <v>34</v>
      </c>
      <c r="AB93" s="209" t="s">
        <v>34</v>
      </c>
      <c r="AC93" s="200">
        <v>0.12</v>
      </c>
      <c r="AD93" s="210">
        <v>0.0</v>
      </c>
      <c r="AE93" s="200">
        <v>1.6</v>
      </c>
      <c r="AF93" s="211">
        <v>0.0</v>
      </c>
      <c r="AG93" s="200" t="s">
        <v>34</v>
      </c>
      <c r="AH93" s="208" t="s">
        <v>34</v>
      </c>
      <c r="AI93" s="200" t="s">
        <v>34</v>
      </c>
      <c r="AJ93" s="212" t="s">
        <v>34</v>
      </c>
      <c r="AK93" s="200">
        <v>0.17</v>
      </c>
      <c r="AL93" s="208">
        <v>0.0</v>
      </c>
      <c r="AM93" s="200">
        <v>1.54</v>
      </c>
      <c r="AN93" s="213">
        <v>0.0</v>
      </c>
      <c r="AX93" s="53"/>
      <c r="AY93" s="90">
        <v>28.85</v>
      </c>
      <c r="AZ93" s="78">
        <f t="shared" si="6"/>
        <v>55.71</v>
      </c>
      <c r="BG93" s="57"/>
      <c r="BH93" s="79">
        <f t="shared" si="7"/>
        <v>11.24</v>
      </c>
      <c r="BM93" s="77">
        <v>4.2</v>
      </c>
      <c r="BR93" s="72">
        <v>10.38</v>
      </c>
      <c r="BS93" s="75">
        <v>0.0</v>
      </c>
      <c r="BT93" s="75">
        <v>0.0</v>
      </c>
      <c r="BU93" s="75">
        <v>0.0</v>
      </c>
      <c r="BV93" s="72">
        <v>0.86</v>
      </c>
      <c r="BW93" s="83">
        <f t="shared" si="8"/>
        <v>11.24</v>
      </c>
      <c r="CI93" s="228"/>
      <c r="CJ93" s="229"/>
      <c r="CK93" s="229"/>
      <c r="CL93" s="229"/>
      <c r="CM93" s="229"/>
      <c r="CN93" s="229"/>
      <c r="CO93" s="229"/>
      <c r="CP93" s="229"/>
      <c r="CQ93" s="229"/>
      <c r="CR93" s="229"/>
      <c r="CS93" s="229"/>
      <c r="CT93" s="229"/>
      <c r="CU93" s="229"/>
      <c r="CV93" s="229"/>
      <c r="CW93" s="229"/>
      <c r="CX93" s="229"/>
      <c r="CY93" s="229"/>
      <c r="CZ93" s="229"/>
      <c r="DA93" s="229"/>
      <c r="DB93" s="229"/>
      <c r="DC93" s="230"/>
    </row>
    <row r="94" ht="12.0" customHeight="1">
      <c r="H94" s="184" t="s">
        <v>71</v>
      </c>
      <c r="I94" s="185">
        <v>19.0</v>
      </c>
      <c r="J94" s="185">
        <v>7.0</v>
      </c>
      <c r="K94" s="200">
        <v>34.39</v>
      </c>
      <c r="L94" s="201">
        <v>3.0</v>
      </c>
      <c r="M94" s="200">
        <v>10.55</v>
      </c>
      <c r="N94" s="202">
        <v>0.0</v>
      </c>
      <c r="O94" s="200">
        <v>23.47</v>
      </c>
      <c r="P94" s="203">
        <v>2.0</v>
      </c>
      <c r="Q94" s="200">
        <v>13.45</v>
      </c>
      <c r="R94" s="204">
        <v>1.0</v>
      </c>
      <c r="S94" s="200">
        <v>11.72</v>
      </c>
      <c r="T94" s="205">
        <v>1.0</v>
      </c>
      <c r="U94" s="200">
        <v>0.88</v>
      </c>
      <c r="V94" s="206">
        <v>0.0</v>
      </c>
      <c r="W94" s="200">
        <v>1.15</v>
      </c>
      <c r="X94" s="207">
        <v>0.0</v>
      </c>
      <c r="Y94" s="200" t="s">
        <v>34</v>
      </c>
      <c r="Z94" s="208" t="s">
        <v>34</v>
      </c>
      <c r="AA94" s="200">
        <v>1.08</v>
      </c>
      <c r="AB94" s="209">
        <v>0.0</v>
      </c>
      <c r="AC94" s="200" t="s">
        <v>34</v>
      </c>
      <c r="AD94" s="210" t="s">
        <v>34</v>
      </c>
      <c r="AE94" s="200">
        <v>0.87</v>
      </c>
      <c r="AF94" s="211">
        <v>0.0</v>
      </c>
      <c r="AG94" s="200" t="s">
        <v>34</v>
      </c>
      <c r="AH94" s="208" t="s">
        <v>34</v>
      </c>
      <c r="AI94" s="200" t="s">
        <v>34</v>
      </c>
      <c r="AJ94" s="212" t="s">
        <v>34</v>
      </c>
      <c r="AK94" s="200">
        <v>1.2</v>
      </c>
      <c r="AL94" s="208">
        <v>0.0</v>
      </c>
      <c r="AM94" s="200">
        <v>1.24</v>
      </c>
      <c r="AN94" s="213">
        <v>0.0</v>
      </c>
      <c r="AX94" s="53"/>
      <c r="AY94" s="76">
        <v>32.01</v>
      </c>
      <c r="AZ94" s="78">
        <f t="shared" si="6"/>
        <v>44.36</v>
      </c>
      <c r="BG94" s="57"/>
      <c r="BH94" s="79">
        <f t="shared" si="7"/>
        <v>21.67</v>
      </c>
      <c r="BM94" s="77">
        <v>1.96</v>
      </c>
      <c r="BR94" s="72">
        <v>19.89</v>
      </c>
      <c r="BS94" s="75">
        <v>0.0</v>
      </c>
      <c r="BT94" s="75">
        <v>0.0</v>
      </c>
      <c r="BU94" s="72">
        <v>0.92</v>
      </c>
      <c r="BV94" s="72">
        <v>0.86</v>
      </c>
      <c r="BW94" s="83">
        <f t="shared" si="8"/>
        <v>21.67</v>
      </c>
      <c r="CI94" s="48"/>
      <c r="DC94" s="49"/>
    </row>
    <row r="95" ht="12.0" customHeight="1">
      <c r="H95" s="184" t="s">
        <v>73</v>
      </c>
      <c r="I95" s="185">
        <v>20.0</v>
      </c>
      <c r="J95" s="185">
        <v>5.0</v>
      </c>
      <c r="K95" s="200">
        <v>27.47</v>
      </c>
      <c r="L95" s="201">
        <v>2.0</v>
      </c>
      <c r="M95" s="200">
        <v>10.3</v>
      </c>
      <c r="N95" s="202">
        <v>0.0</v>
      </c>
      <c r="O95" s="200">
        <v>8.67</v>
      </c>
      <c r="P95" s="203">
        <v>0.0</v>
      </c>
      <c r="Q95" s="200">
        <v>38.15</v>
      </c>
      <c r="R95" s="204">
        <v>3.0</v>
      </c>
      <c r="S95" s="200">
        <v>9.85</v>
      </c>
      <c r="T95" s="205">
        <v>0.0</v>
      </c>
      <c r="U95" s="200">
        <v>0.82</v>
      </c>
      <c r="V95" s="206">
        <v>0.0</v>
      </c>
      <c r="W95" s="200">
        <v>0.8</v>
      </c>
      <c r="X95" s="207">
        <v>0.0</v>
      </c>
      <c r="Y95" s="200" t="s">
        <v>34</v>
      </c>
      <c r="Z95" s="208" t="s">
        <v>34</v>
      </c>
      <c r="AA95" s="200">
        <v>0.15</v>
      </c>
      <c r="AB95" s="209">
        <v>0.0</v>
      </c>
      <c r="AC95" s="200">
        <v>3.22</v>
      </c>
      <c r="AD95" s="210">
        <v>0.0</v>
      </c>
      <c r="AE95" s="200" t="s">
        <v>34</v>
      </c>
      <c r="AF95" s="211" t="s">
        <v>34</v>
      </c>
      <c r="AG95" s="200" t="s">
        <v>34</v>
      </c>
      <c r="AH95" s="208" t="s">
        <v>34</v>
      </c>
      <c r="AI95" s="200" t="s">
        <v>34</v>
      </c>
      <c r="AJ95" s="212" t="s">
        <v>34</v>
      </c>
      <c r="AK95" s="200" t="s">
        <v>34</v>
      </c>
      <c r="AL95" s="208" t="s">
        <v>34</v>
      </c>
      <c r="AM95" s="200">
        <v>0.57</v>
      </c>
      <c r="AN95" s="213">
        <v>0.0</v>
      </c>
      <c r="AX95" s="53"/>
      <c r="AY95" s="90">
        <v>11.55</v>
      </c>
      <c r="AZ95" s="78">
        <f t="shared" si="6"/>
        <v>63.26</v>
      </c>
      <c r="BG95" s="57"/>
      <c r="BH95" s="79">
        <f t="shared" si="7"/>
        <v>20.93</v>
      </c>
      <c r="BM95" s="77">
        <v>4.26</v>
      </c>
      <c r="BR95" s="72">
        <v>17.91</v>
      </c>
      <c r="BS95" s="75">
        <v>0.0</v>
      </c>
      <c r="BT95" s="75">
        <v>0.0</v>
      </c>
      <c r="BU95" s="72">
        <v>1.65</v>
      </c>
      <c r="BV95" s="72">
        <v>1.37</v>
      </c>
      <c r="BW95" s="83">
        <f t="shared" si="8"/>
        <v>20.93</v>
      </c>
      <c r="CI95" s="48"/>
      <c r="CJ95" s="231" t="s">
        <v>195</v>
      </c>
      <c r="CK95" s="148"/>
      <c r="CL95" s="148"/>
      <c r="CM95" s="148"/>
      <c r="CN95" s="148"/>
      <c r="CO95" s="149"/>
      <c r="CQ95" s="231" t="s">
        <v>196</v>
      </c>
      <c r="CR95" s="148"/>
      <c r="CS95" s="148"/>
      <c r="CT95" s="148"/>
      <c r="CU95" s="148"/>
      <c r="CV95" s="149"/>
      <c r="CX95" s="232" t="s">
        <v>197</v>
      </c>
      <c r="CY95" s="148"/>
      <c r="CZ95" s="148"/>
      <c r="DA95" s="148"/>
      <c r="DB95" s="148"/>
      <c r="DC95" s="149"/>
    </row>
    <row r="96" ht="12.0" customHeight="1">
      <c r="H96" s="184" t="s">
        <v>75</v>
      </c>
      <c r="I96" s="185">
        <v>21.0</v>
      </c>
      <c r="J96" s="185">
        <v>6.0</v>
      </c>
      <c r="K96" s="200">
        <v>28.94</v>
      </c>
      <c r="L96" s="201">
        <v>2.0</v>
      </c>
      <c r="M96" s="200">
        <v>11.04</v>
      </c>
      <c r="N96" s="202">
        <v>1.0</v>
      </c>
      <c r="O96" s="200">
        <v>0.1</v>
      </c>
      <c r="P96" s="203">
        <v>0.0</v>
      </c>
      <c r="Q96" s="200">
        <v>4.24</v>
      </c>
      <c r="R96" s="204">
        <v>0.0</v>
      </c>
      <c r="S96" s="200">
        <v>25.33</v>
      </c>
      <c r="T96" s="205">
        <v>2.0</v>
      </c>
      <c r="U96" s="200">
        <v>5.33</v>
      </c>
      <c r="V96" s="206">
        <v>0.0</v>
      </c>
      <c r="W96" s="200" t="s">
        <v>34</v>
      </c>
      <c r="X96" s="207" t="s">
        <v>34</v>
      </c>
      <c r="Y96" s="200" t="s">
        <v>34</v>
      </c>
      <c r="Z96" s="208" t="s">
        <v>34</v>
      </c>
      <c r="AA96" s="200">
        <v>20.84</v>
      </c>
      <c r="AB96" s="209">
        <v>1.0</v>
      </c>
      <c r="AC96" s="200">
        <v>0.15</v>
      </c>
      <c r="AD96" s="210">
        <v>0.0</v>
      </c>
      <c r="AE96" s="200">
        <v>0.11</v>
      </c>
      <c r="AF96" s="211">
        <v>0.0</v>
      </c>
      <c r="AG96" s="200" t="s">
        <v>34</v>
      </c>
      <c r="AH96" s="208" t="s">
        <v>34</v>
      </c>
      <c r="AI96" s="200" t="s">
        <v>34</v>
      </c>
      <c r="AJ96" s="212" t="s">
        <v>34</v>
      </c>
      <c r="AK96" s="200" t="s">
        <v>34</v>
      </c>
      <c r="AL96" s="208" t="s">
        <v>34</v>
      </c>
      <c r="AM96" s="200">
        <v>3.92</v>
      </c>
      <c r="AN96" s="213">
        <v>0.0</v>
      </c>
      <c r="AX96" s="53"/>
      <c r="AY96" s="90">
        <v>9.85</v>
      </c>
      <c r="AZ96" s="78">
        <f t="shared" si="6"/>
        <v>65.91</v>
      </c>
      <c r="BG96" s="57"/>
      <c r="BH96" s="79">
        <f t="shared" si="7"/>
        <v>24.24</v>
      </c>
      <c r="BM96" s="80">
        <v>0.0</v>
      </c>
      <c r="BR96" s="72">
        <v>23.71</v>
      </c>
      <c r="BS96" s="75">
        <v>0.0</v>
      </c>
      <c r="BT96" s="75">
        <v>0.0</v>
      </c>
      <c r="BU96" s="72">
        <v>0.05</v>
      </c>
      <c r="BV96" s="72">
        <v>0.48</v>
      </c>
      <c r="BW96" s="83">
        <f t="shared" si="8"/>
        <v>24.24</v>
      </c>
      <c r="CI96" s="48"/>
      <c r="CJ96" s="233" t="s">
        <v>198</v>
      </c>
      <c r="CK96" s="234"/>
      <c r="CL96" s="235" t="s">
        <v>199</v>
      </c>
      <c r="CM96" s="236"/>
      <c r="CN96" s="235" t="s">
        <v>193</v>
      </c>
      <c r="CO96" s="236"/>
      <c r="CQ96" s="233" t="s">
        <v>200</v>
      </c>
      <c r="CR96" s="234"/>
      <c r="CS96" s="235" t="s">
        <v>199</v>
      </c>
      <c r="CT96" s="236"/>
      <c r="CU96" s="235" t="s">
        <v>193</v>
      </c>
      <c r="CV96" s="236"/>
      <c r="CX96" s="233" t="s">
        <v>201</v>
      </c>
      <c r="CY96" s="234"/>
      <c r="CZ96" s="235" t="s">
        <v>199</v>
      </c>
      <c r="DA96" s="236"/>
      <c r="DB96" s="235" t="s">
        <v>193</v>
      </c>
      <c r="DC96" s="237"/>
    </row>
    <row r="97" ht="12.0" customHeight="1">
      <c r="H97" s="184" t="s">
        <v>78</v>
      </c>
      <c r="I97" s="185">
        <v>22.0</v>
      </c>
      <c r="J97" s="185">
        <v>5.0</v>
      </c>
      <c r="K97" s="200">
        <v>17.73</v>
      </c>
      <c r="L97" s="201">
        <v>1.0</v>
      </c>
      <c r="M97" s="200">
        <v>11.07</v>
      </c>
      <c r="N97" s="202">
        <v>0.0</v>
      </c>
      <c r="O97" s="200">
        <v>23.84</v>
      </c>
      <c r="P97" s="203">
        <v>2.0</v>
      </c>
      <c r="Q97" s="200">
        <v>35.34</v>
      </c>
      <c r="R97" s="204">
        <v>2.0</v>
      </c>
      <c r="S97" s="200">
        <v>10.48</v>
      </c>
      <c r="T97" s="205">
        <v>0.0</v>
      </c>
      <c r="U97" s="200" t="s">
        <v>34</v>
      </c>
      <c r="V97" s="206" t="s">
        <v>34</v>
      </c>
      <c r="W97" s="200">
        <v>0.83</v>
      </c>
      <c r="X97" s="207">
        <v>0.0</v>
      </c>
      <c r="Y97" s="200" t="s">
        <v>34</v>
      </c>
      <c r="Z97" s="208" t="s">
        <v>34</v>
      </c>
      <c r="AA97" s="200" t="s">
        <v>34</v>
      </c>
      <c r="AB97" s="209" t="s">
        <v>34</v>
      </c>
      <c r="AC97" s="200">
        <v>0.34</v>
      </c>
      <c r="AD97" s="210">
        <v>0.0</v>
      </c>
      <c r="AE97" s="200" t="s">
        <v>34</v>
      </c>
      <c r="AF97" s="211" t="s">
        <v>34</v>
      </c>
      <c r="AG97" s="200" t="s">
        <v>34</v>
      </c>
      <c r="AH97" s="208" t="s">
        <v>34</v>
      </c>
      <c r="AI97" s="200" t="s">
        <v>34</v>
      </c>
      <c r="AJ97" s="212" t="s">
        <v>34</v>
      </c>
      <c r="AK97" s="200">
        <v>0.36</v>
      </c>
      <c r="AL97" s="208">
        <v>0.0</v>
      </c>
      <c r="AM97" s="200">
        <v>0.05</v>
      </c>
      <c r="AN97" s="213">
        <v>0.0</v>
      </c>
      <c r="AX97" s="53"/>
      <c r="AY97" s="90">
        <v>5.71</v>
      </c>
      <c r="AZ97" s="78">
        <f t="shared" si="6"/>
        <v>70.28</v>
      </c>
      <c r="BG97" s="57"/>
      <c r="BH97" s="79">
        <f t="shared" si="7"/>
        <v>21.49</v>
      </c>
      <c r="BM97" s="77">
        <v>2.52</v>
      </c>
      <c r="BR97" s="72">
        <v>20.73</v>
      </c>
      <c r="BS97" s="75">
        <v>0.0</v>
      </c>
      <c r="BT97" s="75">
        <v>0.0</v>
      </c>
      <c r="BU97" s="72">
        <v>0.04</v>
      </c>
      <c r="BV97" s="72">
        <v>0.72</v>
      </c>
      <c r="BW97" s="83">
        <f t="shared" si="8"/>
        <v>21.49</v>
      </c>
      <c r="CI97" s="48"/>
      <c r="CJ97" s="238"/>
      <c r="CK97" s="236"/>
      <c r="CL97" s="239" t="s">
        <v>202</v>
      </c>
      <c r="CM97" s="239" t="s">
        <v>192</v>
      </c>
      <c r="CN97" s="239" t="s">
        <v>202</v>
      </c>
      <c r="CO97" s="239" t="s">
        <v>192</v>
      </c>
      <c r="CQ97" s="238"/>
      <c r="CR97" s="236"/>
      <c r="CS97" s="239" t="s">
        <v>202</v>
      </c>
      <c r="CT97" s="239" t="s">
        <v>192</v>
      </c>
      <c r="CU97" s="239" t="s">
        <v>202</v>
      </c>
      <c r="CV97" s="239" t="s">
        <v>192</v>
      </c>
      <c r="CX97" s="238"/>
      <c r="CY97" s="236"/>
      <c r="CZ97" s="239" t="s">
        <v>202</v>
      </c>
      <c r="DA97" s="239" t="s">
        <v>192</v>
      </c>
      <c r="DB97" s="239" t="s">
        <v>202</v>
      </c>
      <c r="DC97" s="240" t="s">
        <v>192</v>
      </c>
    </row>
    <row r="98" ht="12.0" customHeight="1">
      <c r="H98" s="184" t="s">
        <v>80</v>
      </c>
      <c r="I98" s="185">
        <v>23.0</v>
      </c>
      <c r="J98" s="185">
        <v>6.0</v>
      </c>
      <c r="K98" s="200">
        <v>16.05</v>
      </c>
      <c r="L98" s="201">
        <v>1.0</v>
      </c>
      <c r="M98" s="200">
        <v>9.56</v>
      </c>
      <c r="N98" s="202">
        <v>0.0</v>
      </c>
      <c r="O98" s="200">
        <v>14.52</v>
      </c>
      <c r="P98" s="203">
        <v>1.0</v>
      </c>
      <c r="Q98" s="200">
        <v>34.9</v>
      </c>
      <c r="R98" s="204">
        <v>3.0</v>
      </c>
      <c r="S98" s="200">
        <v>11.89</v>
      </c>
      <c r="T98" s="205">
        <v>1.0</v>
      </c>
      <c r="U98" s="200">
        <v>1.8</v>
      </c>
      <c r="V98" s="206">
        <v>0.0</v>
      </c>
      <c r="W98" s="200">
        <v>5.17</v>
      </c>
      <c r="X98" s="207">
        <v>0.0</v>
      </c>
      <c r="Y98" s="200" t="s">
        <v>34</v>
      </c>
      <c r="Z98" s="208" t="s">
        <v>34</v>
      </c>
      <c r="AA98" s="200" t="s">
        <v>34</v>
      </c>
      <c r="AB98" s="209" t="s">
        <v>34</v>
      </c>
      <c r="AC98" s="200">
        <v>4.11</v>
      </c>
      <c r="AD98" s="210">
        <v>0.0</v>
      </c>
      <c r="AE98" s="200">
        <v>0.33</v>
      </c>
      <c r="AF98" s="211">
        <v>0.0</v>
      </c>
      <c r="AG98" s="200" t="s">
        <v>34</v>
      </c>
      <c r="AH98" s="208" t="s">
        <v>34</v>
      </c>
      <c r="AI98" s="200" t="s">
        <v>34</v>
      </c>
      <c r="AJ98" s="212" t="s">
        <v>34</v>
      </c>
      <c r="AK98" s="200">
        <v>0.29</v>
      </c>
      <c r="AL98" s="208">
        <v>0.0</v>
      </c>
      <c r="AM98" s="200">
        <v>1.38</v>
      </c>
      <c r="AN98" s="213">
        <v>0.0</v>
      </c>
      <c r="AX98" s="53"/>
      <c r="AY98" s="76">
        <v>62.29</v>
      </c>
      <c r="AZ98" s="78">
        <f t="shared" si="6"/>
        <v>25.84</v>
      </c>
      <c r="BG98" s="57"/>
      <c r="BH98" s="79">
        <f t="shared" si="7"/>
        <v>11.87</v>
      </c>
      <c r="BM98" s="80">
        <v>0.0</v>
      </c>
      <c r="BR98" s="72">
        <v>11.35</v>
      </c>
      <c r="BS98" s="75">
        <v>0.0</v>
      </c>
      <c r="BT98" s="75">
        <v>0.0</v>
      </c>
      <c r="BU98" s="75">
        <v>0.0</v>
      </c>
      <c r="BV98" s="72">
        <v>0.52</v>
      </c>
      <c r="BW98" s="83">
        <f t="shared" si="8"/>
        <v>11.87</v>
      </c>
      <c r="CI98" s="48"/>
      <c r="CJ98" s="241"/>
      <c r="CK98" s="242" t="s">
        <v>27</v>
      </c>
      <c r="CL98" s="243">
        <v>3872797.0</v>
      </c>
      <c r="CM98" s="244">
        <v>44.2</v>
      </c>
      <c r="CN98" s="242">
        <v>197.0</v>
      </c>
      <c r="CO98" s="245">
        <v>0.4436936936936937</v>
      </c>
      <c r="CQ98" s="246"/>
      <c r="CR98" s="247" t="s">
        <v>27</v>
      </c>
      <c r="CS98" s="248">
        <v>3872797.0</v>
      </c>
      <c r="CT98" s="249">
        <v>44.2</v>
      </c>
      <c r="CU98" s="249">
        <v>196.0</v>
      </c>
      <c r="CV98" s="250">
        <v>0.44144144144144143</v>
      </c>
      <c r="CX98" s="246"/>
      <c r="CY98" s="247" t="s">
        <v>27</v>
      </c>
      <c r="CZ98" s="248">
        <v>3872797.0</v>
      </c>
      <c r="DA98" s="249">
        <v>44.2</v>
      </c>
      <c r="DB98" s="249">
        <v>196.0</v>
      </c>
      <c r="DC98" s="251">
        <v>0.44144144144144143</v>
      </c>
    </row>
    <row r="99" ht="12.0" customHeight="1">
      <c r="H99" s="184" t="s">
        <v>82</v>
      </c>
      <c r="I99" s="185">
        <v>24.0</v>
      </c>
      <c r="J99" s="185">
        <v>6.0</v>
      </c>
      <c r="K99" s="200">
        <v>28.85</v>
      </c>
      <c r="L99" s="201">
        <v>2.0</v>
      </c>
      <c r="M99" s="200">
        <v>10.38</v>
      </c>
      <c r="N99" s="202">
        <v>0.0</v>
      </c>
      <c r="O99" s="200">
        <v>13.85</v>
      </c>
      <c r="P99" s="203">
        <v>1.0</v>
      </c>
      <c r="Q99" s="200">
        <v>29.8</v>
      </c>
      <c r="R99" s="204">
        <v>2.0</v>
      </c>
      <c r="S99" s="200" t="s">
        <v>34</v>
      </c>
      <c r="T99" s="205" t="s">
        <v>34</v>
      </c>
      <c r="U99" s="200" t="s">
        <v>34</v>
      </c>
      <c r="V99" s="206" t="s">
        <v>34</v>
      </c>
      <c r="W99" s="200">
        <v>4.2</v>
      </c>
      <c r="X99" s="207">
        <v>0.0</v>
      </c>
      <c r="Y99" s="200" t="s">
        <v>34</v>
      </c>
      <c r="Z99" s="208" t="s">
        <v>34</v>
      </c>
      <c r="AA99" s="200">
        <v>1.18</v>
      </c>
      <c r="AB99" s="209">
        <v>0.0</v>
      </c>
      <c r="AC99" s="200">
        <v>10.88</v>
      </c>
      <c r="AD99" s="210">
        <v>1.0</v>
      </c>
      <c r="AE99" s="200" t="s">
        <v>34</v>
      </c>
      <c r="AF99" s="211" t="s">
        <v>34</v>
      </c>
      <c r="AG99" s="200" t="s">
        <v>34</v>
      </c>
      <c r="AH99" s="208" t="s">
        <v>34</v>
      </c>
      <c r="AI99" s="200" t="s">
        <v>34</v>
      </c>
      <c r="AJ99" s="212" t="s">
        <v>34</v>
      </c>
      <c r="AK99" s="200" t="s">
        <v>34</v>
      </c>
      <c r="AL99" s="208" t="s">
        <v>34</v>
      </c>
      <c r="AM99" s="200">
        <v>0.86</v>
      </c>
      <c r="AN99" s="213">
        <v>0.0</v>
      </c>
      <c r="AX99" s="53"/>
      <c r="AY99" s="76">
        <v>47.0</v>
      </c>
      <c r="AZ99" s="78">
        <f t="shared" si="6"/>
        <v>29.61</v>
      </c>
      <c r="BG99" s="57"/>
      <c r="BH99" s="79">
        <f t="shared" si="7"/>
        <v>23.39</v>
      </c>
      <c r="BM99" s="80">
        <v>0.0</v>
      </c>
      <c r="BR99" s="72">
        <v>22.39</v>
      </c>
      <c r="BS99" s="75">
        <v>0.0</v>
      </c>
      <c r="BT99" s="75">
        <v>0.0</v>
      </c>
      <c r="BU99" s="75">
        <v>0.0</v>
      </c>
      <c r="BV99" s="72">
        <v>1.0</v>
      </c>
      <c r="BW99" s="83">
        <f t="shared" si="8"/>
        <v>23.39</v>
      </c>
      <c r="CI99" s="48"/>
      <c r="CJ99" s="252"/>
      <c r="CK99" s="253" t="s">
        <v>203</v>
      </c>
      <c r="CL99" s="254">
        <v>2551582.0</v>
      </c>
      <c r="CM99" s="239">
        <v>29.12</v>
      </c>
      <c r="CN99" s="239">
        <v>130.0</v>
      </c>
      <c r="CO99" s="245">
        <v>0.2927927927927928</v>
      </c>
      <c r="CQ99" s="255"/>
      <c r="CR99" s="255"/>
      <c r="CS99" s="255"/>
      <c r="CT99" s="255"/>
      <c r="CU99" s="255"/>
      <c r="CV99" s="255"/>
      <c r="CX99" s="255"/>
      <c r="CY99" s="255"/>
      <c r="CZ99" s="255"/>
      <c r="DA99" s="255"/>
      <c r="DB99" s="255"/>
      <c r="DC99" s="256"/>
    </row>
    <row r="100" ht="12.0" customHeight="1">
      <c r="H100" s="184" t="s">
        <v>84</v>
      </c>
      <c r="I100" s="185">
        <v>25.0</v>
      </c>
      <c r="J100" s="185">
        <v>4.0</v>
      </c>
      <c r="K100" s="200">
        <v>32.01</v>
      </c>
      <c r="L100" s="201">
        <v>2.0</v>
      </c>
      <c r="M100" s="200">
        <v>19.89</v>
      </c>
      <c r="N100" s="202">
        <v>1.0</v>
      </c>
      <c r="O100" s="200">
        <v>20.45</v>
      </c>
      <c r="P100" s="203">
        <v>1.0</v>
      </c>
      <c r="Q100" s="200">
        <v>12.33</v>
      </c>
      <c r="R100" s="204">
        <v>0.0</v>
      </c>
      <c r="S100" s="200">
        <v>6.37</v>
      </c>
      <c r="T100" s="205">
        <v>0.0</v>
      </c>
      <c r="U100" s="200">
        <v>0.55</v>
      </c>
      <c r="V100" s="206">
        <v>0.0</v>
      </c>
      <c r="W100" s="200">
        <v>1.96</v>
      </c>
      <c r="X100" s="207">
        <v>0.0</v>
      </c>
      <c r="Y100" s="200" t="s">
        <v>34</v>
      </c>
      <c r="Z100" s="208" t="s">
        <v>34</v>
      </c>
      <c r="AA100" s="200" t="s">
        <v>34</v>
      </c>
      <c r="AB100" s="209" t="s">
        <v>34</v>
      </c>
      <c r="AC100" s="200">
        <v>1.12</v>
      </c>
      <c r="AD100" s="210">
        <v>0.0</v>
      </c>
      <c r="AE100" s="200">
        <v>3.54</v>
      </c>
      <c r="AF100" s="211">
        <v>0.0</v>
      </c>
      <c r="AG100" s="200" t="s">
        <v>34</v>
      </c>
      <c r="AH100" s="208" t="s">
        <v>34</v>
      </c>
      <c r="AI100" s="200" t="s">
        <v>34</v>
      </c>
      <c r="AJ100" s="212" t="s">
        <v>34</v>
      </c>
      <c r="AK100" s="200">
        <v>0.92</v>
      </c>
      <c r="AL100" s="208">
        <v>0.0</v>
      </c>
      <c r="AM100" s="200">
        <v>0.86</v>
      </c>
      <c r="AN100" s="213">
        <v>0.0</v>
      </c>
      <c r="AX100" s="53"/>
      <c r="AY100" s="76">
        <v>57.05</v>
      </c>
      <c r="AZ100" s="78">
        <f t="shared" si="6"/>
        <v>29.66</v>
      </c>
      <c r="BG100" s="57"/>
      <c r="BH100" s="79">
        <f t="shared" si="7"/>
        <v>13.29</v>
      </c>
      <c r="BM100" s="80">
        <v>0.0</v>
      </c>
      <c r="BR100" s="72">
        <v>12.89</v>
      </c>
      <c r="BS100" s="75">
        <v>0.0</v>
      </c>
      <c r="BT100" s="75">
        <v>0.0</v>
      </c>
      <c r="BU100" s="75">
        <v>0.0</v>
      </c>
      <c r="BV100" s="72">
        <v>0.4</v>
      </c>
      <c r="BW100" s="83">
        <f t="shared" si="8"/>
        <v>13.29</v>
      </c>
      <c r="CI100" s="48"/>
      <c r="CJ100" s="257"/>
      <c r="CK100" s="258" t="s">
        <v>204</v>
      </c>
      <c r="CL100" s="259">
        <v>1398250.0</v>
      </c>
      <c r="CM100" s="247">
        <v>15.96</v>
      </c>
      <c r="CN100" s="247">
        <v>71.0</v>
      </c>
      <c r="CO100" s="245">
        <v>0.15990990990990991</v>
      </c>
      <c r="CQ100" s="260"/>
      <c r="CR100" s="260"/>
      <c r="CS100" s="260"/>
      <c r="CT100" s="260"/>
      <c r="CU100" s="260"/>
      <c r="CV100" s="260"/>
      <c r="CX100" s="260"/>
      <c r="CY100" s="260"/>
      <c r="CZ100" s="260"/>
      <c r="DA100" s="260"/>
      <c r="DB100" s="260"/>
      <c r="DC100" s="261"/>
    </row>
    <row r="101" ht="12.0" customHeight="1">
      <c r="H101" s="184" t="s">
        <v>86</v>
      </c>
      <c r="I101" s="185">
        <v>26.0</v>
      </c>
      <c r="J101" s="185">
        <v>6.0</v>
      </c>
      <c r="K101" s="200">
        <v>11.55</v>
      </c>
      <c r="L101" s="201">
        <v>1.0</v>
      </c>
      <c r="M101" s="200">
        <v>17.91</v>
      </c>
      <c r="N101" s="202">
        <v>1.0</v>
      </c>
      <c r="O101" s="200">
        <v>14.55</v>
      </c>
      <c r="P101" s="203">
        <v>1.0</v>
      </c>
      <c r="Q101" s="200">
        <v>21.06</v>
      </c>
      <c r="R101" s="204">
        <v>2.0</v>
      </c>
      <c r="S101" s="200">
        <v>16.54</v>
      </c>
      <c r="T101" s="205">
        <v>1.0</v>
      </c>
      <c r="U101" s="200" t="s">
        <v>34</v>
      </c>
      <c r="V101" s="206" t="s">
        <v>34</v>
      </c>
      <c r="W101" s="200">
        <v>4.26</v>
      </c>
      <c r="X101" s="207">
        <v>0.0</v>
      </c>
      <c r="Y101" s="200" t="s">
        <v>34</v>
      </c>
      <c r="Z101" s="208" t="s">
        <v>34</v>
      </c>
      <c r="AA101" s="200">
        <v>0.7</v>
      </c>
      <c r="AB101" s="209">
        <v>0.0</v>
      </c>
      <c r="AC101" s="200">
        <v>7.45</v>
      </c>
      <c r="AD101" s="210">
        <v>0.0</v>
      </c>
      <c r="AE101" s="200">
        <v>2.96</v>
      </c>
      <c r="AF101" s="211">
        <v>0.0</v>
      </c>
      <c r="AG101" s="200" t="s">
        <v>34</v>
      </c>
      <c r="AH101" s="208" t="s">
        <v>34</v>
      </c>
      <c r="AI101" s="200" t="s">
        <v>34</v>
      </c>
      <c r="AJ101" s="212" t="s">
        <v>34</v>
      </c>
      <c r="AK101" s="200">
        <v>1.65</v>
      </c>
      <c r="AL101" s="208">
        <v>0.0</v>
      </c>
      <c r="AM101" s="200">
        <v>1.37</v>
      </c>
      <c r="AN101" s="213">
        <v>0.0</v>
      </c>
      <c r="AX101" s="53"/>
      <c r="AY101" s="76">
        <v>47.47</v>
      </c>
      <c r="AZ101" s="78">
        <f t="shared" si="6"/>
        <v>31.64</v>
      </c>
      <c r="BG101" s="57"/>
      <c r="BH101" s="79">
        <f t="shared" si="7"/>
        <v>20.89</v>
      </c>
      <c r="BM101" s="80">
        <v>0.0</v>
      </c>
      <c r="BR101" s="72">
        <v>19.91</v>
      </c>
      <c r="BS101" s="75">
        <v>0.0</v>
      </c>
      <c r="BT101" s="75">
        <v>0.0</v>
      </c>
      <c r="BU101" s="75">
        <v>0.0</v>
      </c>
      <c r="BV101" s="72">
        <v>0.98</v>
      </c>
      <c r="BW101" s="83">
        <f t="shared" si="8"/>
        <v>20.89</v>
      </c>
      <c r="CI101" s="48"/>
      <c r="CJ101" s="262"/>
      <c r="CK101" s="263" t="s">
        <v>205</v>
      </c>
      <c r="CL101" s="264">
        <v>259956.0</v>
      </c>
      <c r="CM101" s="263">
        <v>2.97</v>
      </c>
      <c r="CN101" s="263">
        <v>13.0</v>
      </c>
      <c r="CO101" s="245">
        <v>0.02927927927927928</v>
      </c>
      <c r="CQ101" s="265"/>
      <c r="CR101" s="258" t="s">
        <v>203</v>
      </c>
      <c r="CS101" s="259">
        <v>2551582.0</v>
      </c>
      <c r="CT101" s="247">
        <v>29.12</v>
      </c>
      <c r="CU101" s="247">
        <v>129.0</v>
      </c>
      <c r="CV101" s="266">
        <v>0.2905405405405405</v>
      </c>
      <c r="CX101" s="267"/>
      <c r="CY101" s="247" t="s">
        <v>29</v>
      </c>
      <c r="CZ101" s="248">
        <v>2811538.0</v>
      </c>
      <c r="DA101" s="249">
        <v>32.09</v>
      </c>
      <c r="DB101" s="249">
        <v>142.0</v>
      </c>
      <c r="DC101" s="251">
        <v>0.31981981981981983</v>
      </c>
    </row>
    <row r="102" ht="12.0" customHeight="1">
      <c r="H102" s="184" t="s">
        <v>88</v>
      </c>
      <c r="I102" s="185">
        <v>27.0</v>
      </c>
      <c r="J102" s="185">
        <v>5.0</v>
      </c>
      <c r="K102" s="200">
        <v>9.85</v>
      </c>
      <c r="L102" s="201">
        <v>0.0</v>
      </c>
      <c r="M102" s="200">
        <v>23.71</v>
      </c>
      <c r="N102" s="202">
        <v>2.0</v>
      </c>
      <c r="O102" s="200">
        <v>7.63</v>
      </c>
      <c r="P102" s="203">
        <v>0.0</v>
      </c>
      <c r="Q102" s="200">
        <v>20.84</v>
      </c>
      <c r="R102" s="204">
        <v>1.0</v>
      </c>
      <c r="S102" s="200">
        <v>11.59</v>
      </c>
      <c r="T102" s="205">
        <v>0.0</v>
      </c>
      <c r="U102" s="200" t="s">
        <v>34</v>
      </c>
      <c r="V102" s="206" t="s">
        <v>34</v>
      </c>
      <c r="W102" s="200" t="s">
        <v>34</v>
      </c>
      <c r="X102" s="207" t="s">
        <v>34</v>
      </c>
      <c r="Y102" s="200" t="s">
        <v>34</v>
      </c>
      <c r="Z102" s="208" t="s">
        <v>34</v>
      </c>
      <c r="AA102" s="200" t="s">
        <v>34</v>
      </c>
      <c r="AB102" s="209" t="s">
        <v>34</v>
      </c>
      <c r="AC102" s="200">
        <v>24.98</v>
      </c>
      <c r="AD102" s="210">
        <v>2.0</v>
      </c>
      <c r="AE102" s="200">
        <v>0.8</v>
      </c>
      <c r="AF102" s="211">
        <v>0.0</v>
      </c>
      <c r="AG102" s="200" t="s">
        <v>34</v>
      </c>
      <c r="AH102" s="208" t="s">
        <v>34</v>
      </c>
      <c r="AI102" s="200">
        <v>0.07</v>
      </c>
      <c r="AJ102" s="212">
        <v>0.0</v>
      </c>
      <c r="AK102" s="200">
        <v>0.05</v>
      </c>
      <c r="AL102" s="208">
        <v>0.0</v>
      </c>
      <c r="AM102" s="200">
        <v>0.48</v>
      </c>
      <c r="AN102" s="213">
        <v>0.0</v>
      </c>
      <c r="AX102" s="53"/>
      <c r="AY102" s="76">
        <v>48.47</v>
      </c>
      <c r="AZ102" s="78">
        <f t="shared" si="6"/>
        <v>38.44</v>
      </c>
      <c r="BG102" s="57"/>
      <c r="BH102" s="79">
        <f t="shared" si="7"/>
        <v>13.09</v>
      </c>
      <c r="BM102" s="80">
        <v>0.0</v>
      </c>
      <c r="BR102" s="72">
        <v>12.86</v>
      </c>
      <c r="BS102" s="75">
        <v>0.0</v>
      </c>
      <c r="BT102" s="75">
        <v>0.0</v>
      </c>
      <c r="BU102" s="75">
        <v>0.0</v>
      </c>
      <c r="BV102" s="72">
        <v>0.23</v>
      </c>
      <c r="BW102" s="83">
        <f t="shared" si="8"/>
        <v>13.09</v>
      </c>
      <c r="CI102" s="48"/>
      <c r="CJ102" s="268"/>
      <c r="CK102" s="239" t="s">
        <v>206</v>
      </c>
      <c r="CL102" s="254">
        <v>175904.0</v>
      </c>
      <c r="CM102" s="239">
        <v>2.01</v>
      </c>
      <c r="CN102" s="239">
        <v>8.0</v>
      </c>
      <c r="CO102" s="245">
        <v>0.018018018018018018</v>
      </c>
      <c r="CQ102" s="255"/>
      <c r="CR102" s="255"/>
      <c r="CS102" s="255"/>
      <c r="CT102" s="255"/>
      <c r="CU102" s="255"/>
      <c r="CV102" s="255"/>
      <c r="CX102" s="255"/>
      <c r="CY102" s="255"/>
      <c r="CZ102" s="255"/>
      <c r="DA102" s="255"/>
      <c r="DB102" s="255"/>
      <c r="DC102" s="256"/>
    </row>
    <row r="103" ht="12.0" customHeight="1">
      <c r="H103" s="184" t="s">
        <v>90</v>
      </c>
      <c r="I103" s="185">
        <v>28.0</v>
      </c>
      <c r="J103" s="185">
        <v>5.0</v>
      </c>
      <c r="K103" s="200">
        <v>5.71</v>
      </c>
      <c r="L103" s="201">
        <v>0.0</v>
      </c>
      <c r="M103" s="200">
        <v>20.73</v>
      </c>
      <c r="N103" s="202">
        <v>1.0</v>
      </c>
      <c r="O103" s="200">
        <v>4.44</v>
      </c>
      <c r="P103" s="203">
        <v>0.0</v>
      </c>
      <c r="Q103" s="200">
        <v>29.94</v>
      </c>
      <c r="R103" s="204">
        <v>2.0</v>
      </c>
      <c r="S103" s="200">
        <v>15.65</v>
      </c>
      <c r="T103" s="205">
        <v>1.0</v>
      </c>
      <c r="U103" s="200" t="s">
        <v>34</v>
      </c>
      <c r="V103" s="206" t="s">
        <v>34</v>
      </c>
      <c r="W103" s="200">
        <v>2.52</v>
      </c>
      <c r="X103" s="207">
        <v>0.0</v>
      </c>
      <c r="Y103" s="200" t="s">
        <v>34</v>
      </c>
      <c r="Z103" s="208" t="s">
        <v>34</v>
      </c>
      <c r="AA103" s="200" t="s">
        <v>34</v>
      </c>
      <c r="AB103" s="209" t="s">
        <v>34</v>
      </c>
      <c r="AC103" s="200">
        <v>20.25</v>
      </c>
      <c r="AD103" s="210">
        <v>1.0</v>
      </c>
      <c r="AE103" s="200" t="s">
        <v>34</v>
      </c>
      <c r="AF103" s="211" t="s">
        <v>34</v>
      </c>
      <c r="AG103" s="200" t="s">
        <v>34</v>
      </c>
      <c r="AH103" s="208" t="s">
        <v>34</v>
      </c>
      <c r="AI103" s="200" t="s">
        <v>34</v>
      </c>
      <c r="AJ103" s="212" t="s">
        <v>34</v>
      </c>
      <c r="AK103" s="200">
        <v>0.04</v>
      </c>
      <c r="AL103" s="208">
        <v>0.0</v>
      </c>
      <c r="AM103" s="200">
        <v>0.72</v>
      </c>
      <c r="AN103" s="213">
        <v>0.0</v>
      </c>
      <c r="AX103" s="53"/>
      <c r="AY103" s="76">
        <v>75.99</v>
      </c>
      <c r="AZ103" s="78">
        <f t="shared" si="6"/>
        <v>22.32</v>
      </c>
      <c r="BG103" s="57"/>
      <c r="BH103" s="79">
        <f t="shared" si="7"/>
        <v>1.69</v>
      </c>
      <c r="BM103" s="80">
        <v>0.0</v>
      </c>
      <c r="BR103" s="72">
        <v>0.01</v>
      </c>
      <c r="BS103" s="75">
        <v>0.0</v>
      </c>
      <c r="BT103" s="75">
        <v>0.0</v>
      </c>
      <c r="BU103" s="75">
        <v>0.0</v>
      </c>
      <c r="BV103" s="72">
        <v>1.68</v>
      </c>
      <c r="BW103" s="83">
        <f t="shared" si="8"/>
        <v>1.69</v>
      </c>
      <c r="CI103" s="48"/>
      <c r="CJ103" s="269"/>
      <c r="CK103" s="270" t="s">
        <v>207</v>
      </c>
      <c r="CL103" s="271">
        <v>65941.0</v>
      </c>
      <c r="CM103" s="270">
        <v>0.75</v>
      </c>
      <c r="CN103" s="270">
        <v>3.0</v>
      </c>
      <c r="CO103" s="245">
        <v>0.006756756756756757</v>
      </c>
      <c r="CQ103" s="255"/>
      <c r="CR103" s="255"/>
      <c r="CS103" s="255"/>
      <c r="CT103" s="255"/>
      <c r="CU103" s="255"/>
      <c r="CV103" s="255"/>
      <c r="CX103" s="260"/>
      <c r="CY103" s="260"/>
      <c r="CZ103" s="260"/>
      <c r="DA103" s="260"/>
      <c r="DB103" s="260"/>
      <c r="DC103" s="261"/>
    </row>
    <row r="104" ht="12.0" customHeight="1">
      <c r="H104" s="184" t="s">
        <v>92</v>
      </c>
      <c r="I104" s="185">
        <v>29.0</v>
      </c>
      <c r="J104" s="185">
        <v>5.0</v>
      </c>
      <c r="K104" s="200">
        <v>62.29</v>
      </c>
      <c r="L104" s="201">
        <v>4.0</v>
      </c>
      <c r="M104" s="200">
        <v>11.35</v>
      </c>
      <c r="N104" s="202">
        <v>0.0</v>
      </c>
      <c r="O104" s="200">
        <v>1.98</v>
      </c>
      <c r="P104" s="203">
        <v>0.0</v>
      </c>
      <c r="Q104" s="200" t="s">
        <v>34</v>
      </c>
      <c r="R104" s="204" t="s">
        <v>34</v>
      </c>
      <c r="S104" s="200">
        <v>1.64</v>
      </c>
      <c r="T104" s="205">
        <v>0.0</v>
      </c>
      <c r="U104" s="200">
        <v>22.22</v>
      </c>
      <c r="V104" s="206">
        <v>1.0</v>
      </c>
      <c r="W104" s="200" t="s">
        <v>34</v>
      </c>
      <c r="X104" s="207" t="s">
        <v>34</v>
      </c>
      <c r="Y104" s="200" t="s">
        <v>34</v>
      </c>
      <c r="Z104" s="208" t="s">
        <v>34</v>
      </c>
      <c r="AA104" s="200" t="s">
        <v>34</v>
      </c>
      <c r="AB104" s="209" t="s">
        <v>34</v>
      </c>
      <c r="AC104" s="200" t="s">
        <v>34</v>
      </c>
      <c r="AD104" s="210" t="s">
        <v>34</v>
      </c>
      <c r="AE104" s="200" t="s">
        <v>34</v>
      </c>
      <c r="AF104" s="211" t="s">
        <v>34</v>
      </c>
      <c r="AG104" s="200" t="s">
        <v>34</v>
      </c>
      <c r="AH104" s="208" t="s">
        <v>34</v>
      </c>
      <c r="AI104" s="200" t="s">
        <v>34</v>
      </c>
      <c r="AJ104" s="212" t="s">
        <v>34</v>
      </c>
      <c r="AK104" s="200" t="s">
        <v>34</v>
      </c>
      <c r="AL104" s="208" t="s">
        <v>34</v>
      </c>
      <c r="AM104" s="200">
        <v>0.52</v>
      </c>
      <c r="AN104" s="213">
        <v>0.0</v>
      </c>
      <c r="AX104" s="53"/>
      <c r="AY104" s="76">
        <v>50.9</v>
      </c>
      <c r="AZ104" s="78">
        <f t="shared" si="6"/>
        <v>37.74</v>
      </c>
      <c r="BG104" s="57"/>
      <c r="BH104" s="79">
        <f t="shared" si="7"/>
        <v>11.36</v>
      </c>
      <c r="BM104" s="80">
        <v>0.0</v>
      </c>
      <c r="BR104" s="72">
        <v>10.96</v>
      </c>
      <c r="BS104" s="75">
        <v>0.0</v>
      </c>
      <c r="BT104" s="75">
        <v>0.0</v>
      </c>
      <c r="BU104" s="75">
        <v>0.0</v>
      </c>
      <c r="BV104" s="72">
        <v>0.4</v>
      </c>
      <c r="BW104" s="83">
        <f t="shared" si="8"/>
        <v>11.36</v>
      </c>
      <c r="CI104" s="48"/>
      <c r="CJ104" s="272"/>
      <c r="CK104" s="270" t="s">
        <v>208</v>
      </c>
      <c r="CL104" s="271">
        <v>53617.0</v>
      </c>
      <c r="CM104" s="270">
        <v>0.61</v>
      </c>
      <c r="CN104" s="270">
        <v>2.0</v>
      </c>
      <c r="CO104" s="245">
        <v>0.0045045045045045045</v>
      </c>
      <c r="CQ104" s="260"/>
      <c r="CR104" s="260"/>
      <c r="CS104" s="260"/>
      <c r="CT104" s="260"/>
      <c r="CU104" s="260"/>
      <c r="CV104" s="260"/>
      <c r="CX104" s="273"/>
      <c r="CY104" s="247" t="s">
        <v>209</v>
      </c>
      <c r="CZ104" s="248">
        <v>2090234.0</v>
      </c>
      <c r="DA104" s="249">
        <v>23.87</v>
      </c>
      <c r="DB104" s="249">
        <v>106.0</v>
      </c>
      <c r="DC104" s="251">
        <v>0.23873873873873874</v>
      </c>
    </row>
    <row r="105" ht="12.0" customHeight="1">
      <c r="H105" s="184" t="s">
        <v>94</v>
      </c>
      <c r="I105" s="185">
        <v>30.0</v>
      </c>
      <c r="J105" s="185">
        <v>4.0</v>
      </c>
      <c r="K105" s="200">
        <v>47.0</v>
      </c>
      <c r="L105" s="201">
        <v>2.0</v>
      </c>
      <c r="M105" s="200">
        <v>22.39</v>
      </c>
      <c r="N105" s="202">
        <v>1.0</v>
      </c>
      <c r="O105" s="200">
        <v>3.83</v>
      </c>
      <c r="P105" s="203">
        <v>0.0</v>
      </c>
      <c r="Q105" s="200" t="s">
        <v>34</v>
      </c>
      <c r="R105" s="204" t="s">
        <v>34</v>
      </c>
      <c r="S105" s="200">
        <v>1.57</v>
      </c>
      <c r="T105" s="205">
        <v>0.0</v>
      </c>
      <c r="U105" s="200">
        <v>24.16</v>
      </c>
      <c r="V105" s="206">
        <v>1.0</v>
      </c>
      <c r="W105" s="200" t="s">
        <v>34</v>
      </c>
      <c r="X105" s="207" t="s">
        <v>34</v>
      </c>
      <c r="Y105" s="200" t="s">
        <v>34</v>
      </c>
      <c r="Z105" s="208" t="s">
        <v>34</v>
      </c>
      <c r="AA105" s="200">
        <v>0.05</v>
      </c>
      <c r="AB105" s="209">
        <v>0.0</v>
      </c>
      <c r="AC105" s="200" t="s">
        <v>34</v>
      </c>
      <c r="AD105" s="210" t="s">
        <v>34</v>
      </c>
      <c r="AE105" s="200" t="s">
        <v>34</v>
      </c>
      <c r="AF105" s="211" t="s">
        <v>34</v>
      </c>
      <c r="AG105" s="200" t="s">
        <v>34</v>
      </c>
      <c r="AH105" s="208" t="s">
        <v>34</v>
      </c>
      <c r="AI105" s="200" t="s">
        <v>34</v>
      </c>
      <c r="AJ105" s="212" t="s">
        <v>34</v>
      </c>
      <c r="AK105" s="200" t="s">
        <v>34</v>
      </c>
      <c r="AL105" s="208" t="s">
        <v>34</v>
      </c>
      <c r="AM105" s="200">
        <v>1.0</v>
      </c>
      <c r="AN105" s="213">
        <v>0.0</v>
      </c>
      <c r="AX105" s="53"/>
      <c r="AY105" s="76">
        <v>46.97</v>
      </c>
      <c r="AZ105" s="78">
        <f t="shared" si="6"/>
        <v>30.5</v>
      </c>
      <c r="BG105" s="57"/>
      <c r="BH105" s="79">
        <f t="shared" si="7"/>
        <v>22.53</v>
      </c>
      <c r="BM105" s="80">
        <v>0.0</v>
      </c>
      <c r="BR105" s="72">
        <v>22.37</v>
      </c>
      <c r="BS105" s="72">
        <v>0.02</v>
      </c>
      <c r="BT105" s="75">
        <v>0.0</v>
      </c>
      <c r="BU105" s="75">
        <v>0.0</v>
      </c>
      <c r="BV105" s="72">
        <v>0.14</v>
      </c>
      <c r="BW105" s="83">
        <f t="shared" si="8"/>
        <v>22.53</v>
      </c>
      <c r="CI105" s="48"/>
      <c r="CJ105" s="274"/>
      <c r="CK105" s="249" t="s">
        <v>210</v>
      </c>
      <c r="CL105" s="248">
        <v>396522.0</v>
      </c>
      <c r="CM105" s="275">
        <v>4.540000000000001</v>
      </c>
      <c r="CN105" s="276">
        <v>20.0</v>
      </c>
      <c r="CO105" s="250">
        <v>0.04504504504504504</v>
      </c>
      <c r="CQ105" s="273"/>
      <c r="CR105" s="247" t="s">
        <v>28</v>
      </c>
      <c r="CS105" s="248">
        <v>2090234.0</v>
      </c>
      <c r="CT105" s="249">
        <v>23.87</v>
      </c>
      <c r="CU105" s="249">
        <v>106.0</v>
      </c>
      <c r="CV105" s="250">
        <v>0.23873873873873874</v>
      </c>
      <c r="CX105" s="255"/>
      <c r="CY105" s="255"/>
      <c r="CZ105" s="255"/>
      <c r="DA105" s="255"/>
      <c r="DB105" s="255"/>
      <c r="DC105" s="256"/>
    </row>
    <row r="106" ht="12.0" customHeight="1">
      <c r="H106" s="184" t="s">
        <v>96</v>
      </c>
      <c r="I106" s="185">
        <v>31.0</v>
      </c>
      <c r="J106" s="185">
        <v>5.0</v>
      </c>
      <c r="K106" s="200">
        <v>57.05</v>
      </c>
      <c r="L106" s="201">
        <v>4.0</v>
      </c>
      <c r="M106" s="200">
        <v>12.89</v>
      </c>
      <c r="N106" s="202">
        <v>0.0</v>
      </c>
      <c r="O106" s="200">
        <v>3.61</v>
      </c>
      <c r="P106" s="203">
        <v>0.0</v>
      </c>
      <c r="Q106" s="200" t="s">
        <v>34</v>
      </c>
      <c r="R106" s="204" t="s">
        <v>34</v>
      </c>
      <c r="S106" s="200" t="s">
        <v>34</v>
      </c>
      <c r="T106" s="205" t="s">
        <v>34</v>
      </c>
      <c r="U106" s="200">
        <v>26.05</v>
      </c>
      <c r="V106" s="206">
        <v>1.0</v>
      </c>
      <c r="W106" s="200" t="s">
        <v>34</v>
      </c>
      <c r="X106" s="207" t="s">
        <v>34</v>
      </c>
      <c r="Y106" s="200" t="s">
        <v>34</v>
      </c>
      <c r="Z106" s="208" t="s">
        <v>34</v>
      </c>
      <c r="AA106" s="200" t="s">
        <v>34</v>
      </c>
      <c r="AB106" s="209" t="s">
        <v>34</v>
      </c>
      <c r="AC106" s="200" t="s">
        <v>34</v>
      </c>
      <c r="AD106" s="210" t="s">
        <v>34</v>
      </c>
      <c r="AE106" s="200" t="s">
        <v>34</v>
      </c>
      <c r="AF106" s="211" t="s">
        <v>34</v>
      </c>
      <c r="AG106" s="200" t="s">
        <v>34</v>
      </c>
      <c r="AH106" s="208" t="s">
        <v>34</v>
      </c>
      <c r="AI106" s="200" t="s">
        <v>34</v>
      </c>
      <c r="AJ106" s="212" t="s">
        <v>34</v>
      </c>
      <c r="AK106" s="200" t="s">
        <v>34</v>
      </c>
      <c r="AL106" s="208" t="s">
        <v>34</v>
      </c>
      <c r="AM106" s="200">
        <v>0.4</v>
      </c>
      <c r="AN106" s="213">
        <v>0.0</v>
      </c>
      <c r="AX106" s="53"/>
      <c r="AY106" s="76">
        <v>37.71</v>
      </c>
      <c r="AZ106" s="78">
        <f t="shared" si="6"/>
        <v>50.95</v>
      </c>
      <c r="BG106" s="57"/>
      <c r="BH106" s="79">
        <f t="shared" si="7"/>
        <v>11.34</v>
      </c>
      <c r="BM106" s="80">
        <v>0.0</v>
      </c>
      <c r="BR106" s="72">
        <v>10.7</v>
      </c>
      <c r="BS106" s="75">
        <v>0.0</v>
      </c>
      <c r="BT106" s="75">
        <v>0.0</v>
      </c>
      <c r="BU106" s="75">
        <v>0.0</v>
      </c>
      <c r="BV106" s="72">
        <v>0.64</v>
      </c>
      <c r="BW106" s="83">
        <f t="shared" si="8"/>
        <v>11.34</v>
      </c>
      <c r="CI106" s="48"/>
      <c r="CJ106" s="277"/>
      <c r="CK106" s="278" t="s">
        <v>211</v>
      </c>
      <c r="CL106" s="279">
        <v>48451.0</v>
      </c>
      <c r="CM106" s="278">
        <v>0.55</v>
      </c>
      <c r="CN106" s="278">
        <v>0.0</v>
      </c>
      <c r="CO106" s="280">
        <v>0.0</v>
      </c>
      <c r="CQ106" s="255"/>
      <c r="CR106" s="255"/>
      <c r="CS106" s="255"/>
      <c r="CT106" s="255"/>
      <c r="CU106" s="255"/>
      <c r="CV106" s="255"/>
      <c r="CX106" s="255"/>
      <c r="CY106" s="255"/>
      <c r="CZ106" s="255"/>
      <c r="DA106" s="255"/>
      <c r="DB106" s="255"/>
      <c r="DC106" s="256"/>
    </row>
    <row r="107" ht="12.0" customHeight="1">
      <c r="H107" s="184" t="s">
        <v>98</v>
      </c>
      <c r="I107" s="185">
        <v>32.0</v>
      </c>
      <c r="J107" s="185">
        <v>6.0</v>
      </c>
      <c r="K107" s="200">
        <v>47.47</v>
      </c>
      <c r="L107" s="201">
        <v>3.0</v>
      </c>
      <c r="M107" s="200">
        <v>19.91</v>
      </c>
      <c r="N107" s="202">
        <v>1.0</v>
      </c>
      <c r="O107" s="200">
        <v>1.09</v>
      </c>
      <c r="P107" s="203">
        <v>0.0</v>
      </c>
      <c r="Q107" s="200" t="s">
        <v>34</v>
      </c>
      <c r="R107" s="204" t="s">
        <v>34</v>
      </c>
      <c r="S107" s="200">
        <v>3.55</v>
      </c>
      <c r="T107" s="205">
        <v>0.0</v>
      </c>
      <c r="U107" s="200">
        <v>27.0</v>
      </c>
      <c r="V107" s="206">
        <v>2.0</v>
      </c>
      <c r="W107" s="200" t="s">
        <v>34</v>
      </c>
      <c r="X107" s="207" t="s">
        <v>34</v>
      </c>
      <c r="Y107" s="200" t="s">
        <v>34</v>
      </c>
      <c r="Z107" s="208" t="s">
        <v>34</v>
      </c>
      <c r="AA107" s="200" t="s">
        <v>34</v>
      </c>
      <c r="AB107" s="209" t="s">
        <v>34</v>
      </c>
      <c r="AC107" s="200" t="s">
        <v>34</v>
      </c>
      <c r="AD107" s="210" t="s">
        <v>34</v>
      </c>
      <c r="AE107" s="200" t="s">
        <v>34</v>
      </c>
      <c r="AF107" s="211" t="s">
        <v>34</v>
      </c>
      <c r="AG107" s="200" t="s">
        <v>34</v>
      </c>
      <c r="AH107" s="208" t="s">
        <v>34</v>
      </c>
      <c r="AI107" s="200" t="s">
        <v>34</v>
      </c>
      <c r="AJ107" s="212" t="s">
        <v>34</v>
      </c>
      <c r="AK107" s="200" t="s">
        <v>34</v>
      </c>
      <c r="AL107" s="208" t="s">
        <v>34</v>
      </c>
      <c r="AM107" s="200">
        <v>0.98</v>
      </c>
      <c r="AN107" s="213">
        <v>0.0</v>
      </c>
      <c r="AX107" s="53"/>
      <c r="AY107" s="76">
        <v>40.96</v>
      </c>
      <c r="AZ107" s="78">
        <f t="shared" si="6"/>
        <v>19.81</v>
      </c>
      <c r="BG107" s="57"/>
      <c r="BH107" s="79">
        <f t="shared" si="7"/>
        <v>39.23</v>
      </c>
      <c r="BM107" s="80">
        <v>0.0</v>
      </c>
      <c r="BR107" s="72">
        <v>36.53</v>
      </c>
      <c r="BS107" s="75">
        <v>0.0</v>
      </c>
      <c r="BT107" s="75">
        <v>0.0</v>
      </c>
      <c r="BU107" s="75">
        <v>0.0</v>
      </c>
      <c r="BV107" s="72">
        <v>2.7</v>
      </c>
      <c r="BW107" s="83">
        <f t="shared" si="8"/>
        <v>39.23</v>
      </c>
      <c r="CI107" s="48"/>
      <c r="CJ107" s="281"/>
      <c r="CK107" s="282" t="s">
        <v>212</v>
      </c>
      <c r="CL107" s="283">
        <v>46317.0</v>
      </c>
      <c r="CM107" s="284">
        <v>0.53</v>
      </c>
      <c r="CN107" s="284">
        <v>0.0</v>
      </c>
      <c r="CO107" s="285">
        <v>0.0</v>
      </c>
      <c r="CQ107" s="255"/>
      <c r="CR107" s="255"/>
      <c r="CS107" s="255"/>
      <c r="CT107" s="255"/>
      <c r="CU107" s="255"/>
      <c r="CV107" s="255"/>
      <c r="CX107" s="260"/>
      <c r="CY107" s="260"/>
      <c r="CZ107" s="260"/>
      <c r="DA107" s="260"/>
      <c r="DB107" s="260"/>
      <c r="DC107" s="261"/>
    </row>
    <row r="108" ht="12.0" customHeight="1">
      <c r="H108" s="184" t="s">
        <v>100</v>
      </c>
      <c r="I108" s="185">
        <v>33.0</v>
      </c>
      <c r="J108" s="185">
        <v>5.0</v>
      </c>
      <c r="K108" s="200">
        <v>48.47</v>
      </c>
      <c r="L108" s="201">
        <v>3.0</v>
      </c>
      <c r="M108" s="200">
        <v>12.86</v>
      </c>
      <c r="N108" s="202">
        <v>0.0</v>
      </c>
      <c r="O108" s="200">
        <v>4.02</v>
      </c>
      <c r="P108" s="203">
        <v>0.0</v>
      </c>
      <c r="Q108" s="200">
        <v>1.26</v>
      </c>
      <c r="R108" s="204">
        <v>0.0</v>
      </c>
      <c r="S108" s="200">
        <v>2.36</v>
      </c>
      <c r="T108" s="205">
        <v>0.0</v>
      </c>
      <c r="U108" s="200">
        <v>30.8</v>
      </c>
      <c r="V108" s="206">
        <v>2.0</v>
      </c>
      <c r="W108" s="200" t="s">
        <v>34</v>
      </c>
      <c r="X108" s="207" t="s">
        <v>34</v>
      </c>
      <c r="Y108" s="200" t="s">
        <v>34</v>
      </c>
      <c r="Z108" s="208" t="s">
        <v>34</v>
      </c>
      <c r="AA108" s="200" t="s">
        <v>34</v>
      </c>
      <c r="AB108" s="209" t="s">
        <v>34</v>
      </c>
      <c r="AC108" s="200" t="s">
        <v>34</v>
      </c>
      <c r="AD108" s="210" t="s">
        <v>34</v>
      </c>
      <c r="AE108" s="200" t="s">
        <v>34</v>
      </c>
      <c r="AF108" s="211" t="s">
        <v>34</v>
      </c>
      <c r="AG108" s="200" t="s">
        <v>34</v>
      </c>
      <c r="AH108" s="208" t="s">
        <v>34</v>
      </c>
      <c r="AI108" s="200" t="s">
        <v>34</v>
      </c>
      <c r="AJ108" s="212" t="s">
        <v>34</v>
      </c>
      <c r="AK108" s="200" t="s">
        <v>34</v>
      </c>
      <c r="AL108" s="208" t="s">
        <v>34</v>
      </c>
      <c r="AM108" s="200">
        <v>0.23</v>
      </c>
      <c r="AN108" s="213">
        <v>0.0</v>
      </c>
      <c r="AX108" s="53"/>
      <c r="AY108" s="90">
        <v>29.98</v>
      </c>
      <c r="AZ108" s="78">
        <f t="shared" si="6"/>
        <v>35.12</v>
      </c>
      <c r="BG108" s="57"/>
      <c r="BH108" s="79">
        <f t="shared" si="7"/>
        <v>34.9</v>
      </c>
      <c r="BM108" s="80">
        <v>0.0</v>
      </c>
      <c r="BR108" s="89">
        <v>32.7</v>
      </c>
      <c r="BS108" s="75">
        <v>0.0</v>
      </c>
      <c r="BT108" s="75">
        <v>0.0</v>
      </c>
      <c r="BU108" s="75">
        <v>0.0</v>
      </c>
      <c r="BV108" s="72">
        <v>2.2</v>
      </c>
      <c r="BW108" s="83">
        <f t="shared" si="8"/>
        <v>34.9</v>
      </c>
      <c r="CI108" s="48"/>
      <c r="CJ108" s="281"/>
      <c r="CK108" s="282" t="s">
        <v>213</v>
      </c>
      <c r="CL108" s="283">
        <v>38160.0</v>
      </c>
      <c r="CM108" s="284">
        <v>0.44</v>
      </c>
      <c r="CN108" s="284">
        <v>0.0</v>
      </c>
      <c r="CO108" s="285">
        <v>0.0</v>
      </c>
      <c r="CQ108" s="260"/>
      <c r="CR108" s="260"/>
      <c r="CS108" s="260"/>
      <c r="CT108" s="260"/>
      <c r="CU108" s="260"/>
      <c r="CV108" s="260"/>
      <c r="DC108" s="49"/>
    </row>
    <row r="109" ht="12.0" customHeight="1">
      <c r="H109" s="184" t="s">
        <v>102</v>
      </c>
      <c r="I109" s="185">
        <v>34.0</v>
      </c>
      <c r="J109" s="185">
        <v>4.0</v>
      </c>
      <c r="K109" s="200">
        <v>75.99</v>
      </c>
      <c r="L109" s="201">
        <v>4.0</v>
      </c>
      <c r="M109" s="200">
        <v>0.01</v>
      </c>
      <c r="N109" s="202">
        <v>0.0</v>
      </c>
      <c r="O109" s="200" t="s">
        <v>34</v>
      </c>
      <c r="P109" s="203" t="s">
        <v>34</v>
      </c>
      <c r="Q109" s="200" t="s">
        <v>34</v>
      </c>
      <c r="R109" s="204" t="s">
        <v>34</v>
      </c>
      <c r="S109" s="200">
        <v>3.59</v>
      </c>
      <c r="T109" s="205">
        <v>0.0</v>
      </c>
      <c r="U109" s="200">
        <v>16.65</v>
      </c>
      <c r="V109" s="206">
        <v>0.0</v>
      </c>
      <c r="W109" s="200" t="s">
        <v>34</v>
      </c>
      <c r="X109" s="207" t="s">
        <v>34</v>
      </c>
      <c r="Y109" s="200" t="s">
        <v>34</v>
      </c>
      <c r="Z109" s="208" t="s">
        <v>34</v>
      </c>
      <c r="AA109" s="200">
        <v>2.08</v>
      </c>
      <c r="AB109" s="209">
        <v>0.0</v>
      </c>
      <c r="AC109" s="200" t="s">
        <v>34</v>
      </c>
      <c r="AD109" s="210" t="s">
        <v>34</v>
      </c>
      <c r="AE109" s="200" t="s">
        <v>34</v>
      </c>
      <c r="AF109" s="211" t="s">
        <v>34</v>
      </c>
      <c r="AG109" s="200" t="s">
        <v>34</v>
      </c>
      <c r="AH109" s="208" t="s">
        <v>34</v>
      </c>
      <c r="AI109" s="200" t="s">
        <v>34</v>
      </c>
      <c r="AJ109" s="212" t="s">
        <v>34</v>
      </c>
      <c r="AK109" s="200" t="s">
        <v>34</v>
      </c>
      <c r="AL109" s="208" t="s">
        <v>34</v>
      </c>
      <c r="AM109" s="200">
        <v>1.68</v>
      </c>
      <c r="AN109" s="213">
        <v>0.0</v>
      </c>
      <c r="AX109" s="53"/>
      <c r="AY109" s="76">
        <v>38.57</v>
      </c>
      <c r="AZ109" s="78">
        <f t="shared" si="6"/>
        <v>43.25</v>
      </c>
      <c r="BG109" s="57"/>
      <c r="BH109" s="79">
        <f t="shared" si="7"/>
        <v>18.18</v>
      </c>
      <c r="BM109" s="80">
        <v>0.0</v>
      </c>
      <c r="BR109" s="72">
        <v>18.17</v>
      </c>
      <c r="BS109" s="75">
        <v>0.0</v>
      </c>
      <c r="BT109" s="75">
        <v>0.0</v>
      </c>
      <c r="BU109" s="75">
        <v>0.0</v>
      </c>
      <c r="BV109" s="72">
        <v>0.01</v>
      </c>
      <c r="BW109" s="83">
        <f t="shared" si="8"/>
        <v>18.18</v>
      </c>
      <c r="CI109" s="48"/>
      <c r="CJ109" s="281"/>
      <c r="CK109" s="286" t="s">
        <v>214</v>
      </c>
      <c r="CL109" s="283">
        <v>31028.0</v>
      </c>
      <c r="CM109" s="284">
        <v>0.35</v>
      </c>
      <c r="CN109" s="284">
        <v>3.0</v>
      </c>
      <c r="CO109" s="285">
        <v>0.68</v>
      </c>
      <c r="CQ109" s="287"/>
      <c r="CR109" s="239" t="s">
        <v>205</v>
      </c>
      <c r="CS109" s="254">
        <v>259956.0</v>
      </c>
      <c r="CT109" s="239">
        <v>2.97</v>
      </c>
      <c r="CU109" s="239">
        <v>13.0</v>
      </c>
      <c r="CV109" s="288">
        <v>0.02927927927927928</v>
      </c>
      <c r="DC109" s="49"/>
    </row>
    <row r="110" ht="12.0" customHeight="1">
      <c r="H110" s="184" t="s">
        <v>102</v>
      </c>
      <c r="I110" s="185">
        <v>35.0</v>
      </c>
      <c r="J110" s="185">
        <v>4.0</v>
      </c>
      <c r="K110" s="200">
        <v>50.9</v>
      </c>
      <c r="L110" s="201">
        <v>3.0</v>
      </c>
      <c r="M110" s="200">
        <v>10.96</v>
      </c>
      <c r="N110" s="202">
        <v>0.0</v>
      </c>
      <c r="O110" s="200">
        <v>6.54</v>
      </c>
      <c r="P110" s="203">
        <v>0.0</v>
      </c>
      <c r="Q110" s="200" t="s">
        <v>34</v>
      </c>
      <c r="R110" s="204" t="s">
        <v>34</v>
      </c>
      <c r="S110" s="200">
        <v>0.41</v>
      </c>
      <c r="T110" s="205">
        <v>0.0</v>
      </c>
      <c r="U110" s="200">
        <v>30.79</v>
      </c>
      <c r="V110" s="206">
        <v>1.0</v>
      </c>
      <c r="W110" s="200" t="s">
        <v>34</v>
      </c>
      <c r="X110" s="207" t="s">
        <v>34</v>
      </c>
      <c r="Y110" s="200" t="s">
        <v>34</v>
      </c>
      <c r="Z110" s="208" t="s">
        <v>34</v>
      </c>
      <c r="AA110" s="200" t="s">
        <v>34</v>
      </c>
      <c r="AB110" s="209" t="s">
        <v>34</v>
      </c>
      <c r="AC110" s="200" t="s">
        <v>34</v>
      </c>
      <c r="AD110" s="210" t="s">
        <v>34</v>
      </c>
      <c r="AE110" s="200" t="s">
        <v>34</v>
      </c>
      <c r="AF110" s="211" t="s">
        <v>34</v>
      </c>
      <c r="AG110" s="200" t="s">
        <v>34</v>
      </c>
      <c r="AH110" s="208" t="s">
        <v>34</v>
      </c>
      <c r="AI110" s="200" t="s">
        <v>34</v>
      </c>
      <c r="AJ110" s="212" t="s">
        <v>34</v>
      </c>
      <c r="AK110" s="200" t="s">
        <v>34</v>
      </c>
      <c r="AL110" s="208" t="s">
        <v>34</v>
      </c>
      <c r="AM110" s="200">
        <v>0.4</v>
      </c>
      <c r="AN110" s="213">
        <v>0.0</v>
      </c>
      <c r="AX110" s="53"/>
      <c r="AY110" s="76">
        <v>37.91</v>
      </c>
      <c r="AZ110" s="78">
        <f t="shared" si="6"/>
        <v>31.31</v>
      </c>
      <c r="BG110" s="57"/>
      <c r="BH110" s="79">
        <f t="shared" si="7"/>
        <v>30.78</v>
      </c>
      <c r="BM110" s="80">
        <v>0.0</v>
      </c>
      <c r="BR110" s="75">
        <v>0.0</v>
      </c>
      <c r="BS110" s="75">
        <v>0.0</v>
      </c>
      <c r="BT110" s="72">
        <v>23.2</v>
      </c>
      <c r="BU110" s="75">
        <v>0.0</v>
      </c>
      <c r="BV110" s="72">
        <v>7.58</v>
      </c>
      <c r="BW110" s="83">
        <f t="shared" si="8"/>
        <v>30.78</v>
      </c>
      <c r="CI110" s="48"/>
      <c r="CJ110" s="281"/>
      <c r="CK110" s="284" t="s">
        <v>215</v>
      </c>
      <c r="CL110" s="283">
        <v>29653.0</v>
      </c>
      <c r="CM110" s="284">
        <v>0.34</v>
      </c>
      <c r="CN110" s="284">
        <v>0.0</v>
      </c>
      <c r="CO110" s="285">
        <v>0.0</v>
      </c>
      <c r="DC110" s="49"/>
    </row>
    <row r="111" ht="12.0" customHeight="1">
      <c r="H111" s="184" t="s">
        <v>107</v>
      </c>
      <c r="I111" s="185">
        <v>36.0</v>
      </c>
      <c r="J111" s="185">
        <v>5.0</v>
      </c>
      <c r="K111" s="200">
        <v>46.97</v>
      </c>
      <c r="L111" s="201">
        <v>3.0</v>
      </c>
      <c r="M111" s="200">
        <v>22.37</v>
      </c>
      <c r="N111" s="202">
        <v>1.0</v>
      </c>
      <c r="O111" s="200">
        <v>2.24</v>
      </c>
      <c r="P111" s="203">
        <v>0.0</v>
      </c>
      <c r="Q111" s="200" t="s">
        <v>34</v>
      </c>
      <c r="R111" s="204" t="s">
        <v>34</v>
      </c>
      <c r="S111" s="200">
        <v>0.12</v>
      </c>
      <c r="T111" s="205">
        <v>0.0</v>
      </c>
      <c r="U111" s="200">
        <v>28.14</v>
      </c>
      <c r="V111" s="206">
        <v>1.0</v>
      </c>
      <c r="W111" s="200" t="s">
        <v>34</v>
      </c>
      <c r="X111" s="207" t="s">
        <v>34</v>
      </c>
      <c r="Y111" s="200">
        <v>0.02</v>
      </c>
      <c r="Z111" s="208">
        <v>0.0</v>
      </c>
      <c r="AA111" s="200" t="s">
        <v>34</v>
      </c>
      <c r="AB111" s="209" t="s">
        <v>34</v>
      </c>
      <c r="AC111" s="200" t="s">
        <v>34</v>
      </c>
      <c r="AD111" s="210" t="s">
        <v>34</v>
      </c>
      <c r="AE111" s="200" t="s">
        <v>34</v>
      </c>
      <c r="AF111" s="211" t="s">
        <v>34</v>
      </c>
      <c r="AG111" s="200" t="s">
        <v>34</v>
      </c>
      <c r="AH111" s="208" t="s">
        <v>34</v>
      </c>
      <c r="AI111" s="200" t="s">
        <v>34</v>
      </c>
      <c r="AJ111" s="212" t="s">
        <v>34</v>
      </c>
      <c r="AK111" s="200" t="s">
        <v>34</v>
      </c>
      <c r="AL111" s="208" t="s">
        <v>34</v>
      </c>
      <c r="AM111" s="200">
        <v>0.14</v>
      </c>
      <c r="AN111" s="213">
        <v>0.0</v>
      </c>
      <c r="AX111" s="53"/>
      <c r="AY111" s="90">
        <v>20.58</v>
      </c>
      <c r="AZ111" s="78">
        <f t="shared" si="6"/>
        <v>67.29</v>
      </c>
      <c r="BG111" s="57"/>
      <c r="BH111" s="79">
        <f t="shared" si="7"/>
        <v>10.48</v>
      </c>
      <c r="BM111" s="77">
        <v>1.65</v>
      </c>
      <c r="BR111" s="75">
        <v>0.0</v>
      </c>
      <c r="BS111" s="75">
        <v>0.0</v>
      </c>
      <c r="BT111" s="72">
        <v>6.82</v>
      </c>
      <c r="BU111" s="75">
        <v>0.0</v>
      </c>
      <c r="BV111" s="72">
        <v>3.66</v>
      </c>
      <c r="BW111" s="83">
        <f t="shared" si="8"/>
        <v>10.48</v>
      </c>
      <c r="CI111" s="48"/>
      <c r="CJ111" s="281"/>
      <c r="CK111" s="282" t="s">
        <v>216</v>
      </c>
      <c r="CL111" s="283">
        <v>28900.0</v>
      </c>
      <c r="CM111" s="284">
        <v>0.33</v>
      </c>
      <c r="CN111" s="284">
        <v>1.0</v>
      </c>
      <c r="CO111" s="285">
        <v>0.23</v>
      </c>
      <c r="DC111" s="49"/>
    </row>
    <row r="112" ht="12.0" customHeight="1">
      <c r="H112" s="184" t="s">
        <v>39</v>
      </c>
      <c r="I112" s="185">
        <v>37.0</v>
      </c>
      <c r="J112" s="185">
        <v>6.0</v>
      </c>
      <c r="K112" s="200">
        <v>37.71</v>
      </c>
      <c r="L112" s="201">
        <v>3.0</v>
      </c>
      <c r="M112" s="200">
        <v>10.7</v>
      </c>
      <c r="N112" s="202">
        <v>0.0</v>
      </c>
      <c r="O112" s="200">
        <v>19.45</v>
      </c>
      <c r="P112" s="203">
        <v>1.0</v>
      </c>
      <c r="Q112" s="200" t="s">
        <v>34</v>
      </c>
      <c r="R112" s="204" t="s">
        <v>34</v>
      </c>
      <c r="S112" s="200">
        <v>0.41</v>
      </c>
      <c r="T112" s="205">
        <v>0.0</v>
      </c>
      <c r="U112" s="200">
        <v>31.09</v>
      </c>
      <c r="V112" s="206">
        <v>2.0</v>
      </c>
      <c r="W112" s="200" t="s">
        <v>34</v>
      </c>
      <c r="X112" s="207" t="s">
        <v>34</v>
      </c>
      <c r="Y112" s="200" t="s">
        <v>34</v>
      </c>
      <c r="Z112" s="208" t="s">
        <v>34</v>
      </c>
      <c r="AA112" s="200" t="s">
        <v>34</v>
      </c>
      <c r="AB112" s="209" t="s">
        <v>34</v>
      </c>
      <c r="AC112" s="200" t="s">
        <v>34</v>
      </c>
      <c r="AD112" s="210" t="s">
        <v>34</v>
      </c>
      <c r="AE112" s="200" t="s">
        <v>34</v>
      </c>
      <c r="AF112" s="211" t="s">
        <v>34</v>
      </c>
      <c r="AG112" s="200" t="s">
        <v>34</v>
      </c>
      <c r="AH112" s="208" t="s">
        <v>34</v>
      </c>
      <c r="AI112" s="200" t="s">
        <v>34</v>
      </c>
      <c r="AJ112" s="212" t="s">
        <v>34</v>
      </c>
      <c r="AK112" s="200" t="s">
        <v>34</v>
      </c>
      <c r="AL112" s="208" t="s">
        <v>34</v>
      </c>
      <c r="AM112" s="200">
        <v>0.64</v>
      </c>
      <c r="AN112" s="213">
        <v>0.0</v>
      </c>
      <c r="AX112" s="53"/>
      <c r="AY112" s="90">
        <v>21.9</v>
      </c>
      <c r="AZ112" s="78">
        <f t="shared" si="6"/>
        <v>56.83</v>
      </c>
      <c r="BG112" s="57"/>
      <c r="BH112" s="79">
        <f t="shared" si="7"/>
        <v>9.07</v>
      </c>
      <c r="BM112" s="77">
        <v>12.2</v>
      </c>
      <c r="BR112" s="75">
        <v>0.0</v>
      </c>
      <c r="BS112" s="75">
        <v>0.0</v>
      </c>
      <c r="BT112" s="72">
        <v>3.0</v>
      </c>
      <c r="BU112" s="75">
        <v>0.0</v>
      </c>
      <c r="BV112" s="72">
        <v>6.07</v>
      </c>
      <c r="BW112" s="83">
        <f t="shared" si="8"/>
        <v>9.07</v>
      </c>
      <c r="CI112" s="48"/>
      <c r="CJ112" s="281"/>
      <c r="CK112" s="282" t="s">
        <v>217</v>
      </c>
      <c r="CL112" s="283">
        <v>15409.0</v>
      </c>
      <c r="CM112" s="284">
        <v>0.18</v>
      </c>
      <c r="CN112" s="284">
        <v>1.0</v>
      </c>
      <c r="CO112" s="285">
        <v>0.23</v>
      </c>
      <c r="DC112" s="49"/>
    </row>
    <row r="113" ht="12.0" customHeight="1">
      <c r="H113" s="184" t="s">
        <v>110</v>
      </c>
      <c r="I113" s="185">
        <v>38.0</v>
      </c>
      <c r="J113" s="185">
        <v>5.0</v>
      </c>
      <c r="K113" s="200">
        <v>40.96</v>
      </c>
      <c r="L113" s="201">
        <v>3.0</v>
      </c>
      <c r="M113" s="200">
        <v>36.53</v>
      </c>
      <c r="N113" s="202">
        <v>2.0</v>
      </c>
      <c r="O113" s="200">
        <v>0.34</v>
      </c>
      <c r="P113" s="203">
        <v>0.0</v>
      </c>
      <c r="Q113" s="200" t="s">
        <v>34</v>
      </c>
      <c r="R113" s="204" t="s">
        <v>34</v>
      </c>
      <c r="S113" s="200">
        <v>10.4</v>
      </c>
      <c r="T113" s="205">
        <v>0.0</v>
      </c>
      <c r="U113" s="200">
        <v>9.07</v>
      </c>
      <c r="V113" s="206">
        <v>0.0</v>
      </c>
      <c r="W113" s="200" t="s">
        <v>34</v>
      </c>
      <c r="X113" s="207" t="s">
        <v>34</v>
      </c>
      <c r="Y113" s="200" t="s">
        <v>34</v>
      </c>
      <c r="Z113" s="208" t="s">
        <v>34</v>
      </c>
      <c r="AA113" s="200" t="s">
        <v>34</v>
      </c>
      <c r="AB113" s="209" t="s">
        <v>34</v>
      </c>
      <c r="AC113" s="200" t="s">
        <v>34</v>
      </c>
      <c r="AD113" s="210" t="s">
        <v>34</v>
      </c>
      <c r="AE113" s="200" t="s">
        <v>34</v>
      </c>
      <c r="AF113" s="211" t="s">
        <v>34</v>
      </c>
      <c r="AG113" s="200" t="s">
        <v>34</v>
      </c>
      <c r="AH113" s="208" t="s">
        <v>34</v>
      </c>
      <c r="AI113" s="200" t="s">
        <v>34</v>
      </c>
      <c r="AJ113" s="212" t="s">
        <v>34</v>
      </c>
      <c r="AK113" s="200" t="s">
        <v>34</v>
      </c>
      <c r="AL113" s="208" t="s">
        <v>34</v>
      </c>
      <c r="AM113" s="200">
        <v>2.7</v>
      </c>
      <c r="AN113" s="213">
        <v>0.0</v>
      </c>
      <c r="AX113" s="53"/>
      <c r="AY113" s="90">
        <v>14.1</v>
      </c>
      <c r="AZ113" s="78">
        <f t="shared" si="6"/>
        <v>61.5</v>
      </c>
      <c r="BG113" s="57"/>
      <c r="BH113" s="79">
        <f t="shared" si="7"/>
        <v>9.7</v>
      </c>
      <c r="BM113" s="77">
        <v>14.7</v>
      </c>
      <c r="BR113" s="75">
        <v>0.0</v>
      </c>
      <c r="BS113" s="75">
        <v>0.0</v>
      </c>
      <c r="BT113" s="72">
        <v>6.23</v>
      </c>
      <c r="BU113" s="75">
        <v>0.0</v>
      </c>
      <c r="BV113" s="72">
        <v>3.47</v>
      </c>
      <c r="BW113" s="83">
        <f t="shared" si="8"/>
        <v>9.7</v>
      </c>
      <c r="CI113" s="48"/>
      <c r="CJ113" s="281"/>
      <c r="CK113" s="284" t="s">
        <v>218</v>
      </c>
      <c r="CL113" s="283">
        <v>11871.0</v>
      </c>
      <c r="CM113" s="284">
        <v>0.14</v>
      </c>
      <c r="CN113" s="284">
        <v>0.0</v>
      </c>
      <c r="CO113" s="285">
        <v>0.0</v>
      </c>
      <c r="DC113" s="49"/>
    </row>
    <row r="114" ht="12.0" customHeight="1">
      <c r="H114" s="184" t="s">
        <v>112</v>
      </c>
      <c r="I114" s="185">
        <v>39.0</v>
      </c>
      <c r="J114" s="185">
        <v>5.0</v>
      </c>
      <c r="K114" s="200">
        <v>29.98</v>
      </c>
      <c r="L114" s="201">
        <v>1.0</v>
      </c>
      <c r="M114" s="200">
        <v>32.7</v>
      </c>
      <c r="N114" s="202">
        <v>2.0</v>
      </c>
      <c r="O114" s="200">
        <v>0.59</v>
      </c>
      <c r="P114" s="203">
        <v>0.0</v>
      </c>
      <c r="Q114" s="200" t="s">
        <v>34</v>
      </c>
      <c r="R114" s="204" t="s">
        <v>34</v>
      </c>
      <c r="S114" s="200">
        <v>18.9</v>
      </c>
      <c r="T114" s="205">
        <v>1.0</v>
      </c>
      <c r="U114" s="200">
        <v>15.63</v>
      </c>
      <c r="V114" s="206">
        <v>1.0</v>
      </c>
      <c r="W114" s="200" t="s">
        <v>34</v>
      </c>
      <c r="X114" s="207" t="s">
        <v>34</v>
      </c>
      <c r="Y114" s="200" t="s">
        <v>34</v>
      </c>
      <c r="Z114" s="208" t="s">
        <v>34</v>
      </c>
      <c r="AA114" s="200" t="s">
        <v>34</v>
      </c>
      <c r="AB114" s="209" t="s">
        <v>34</v>
      </c>
      <c r="AC114" s="200" t="s">
        <v>34</v>
      </c>
      <c r="AD114" s="210" t="s">
        <v>34</v>
      </c>
      <c r="AE114" s="200" t="s">
        <v>34</v>
      </c>
      <c r="AF114" s="211" t="s">
        <v>34</v>
      </c>
      <c r="AG114" s="200" t="s">
        <v>34</v>
      </c>
      <c r="AH114" s="208" t="s">
        <v>34</v>
      </c>
      <c r="AI114" s="200" t="s">
        <v>34</v>
      </c>
      <c r="AJ114" s="212" t="s">
        <v>34</v>
      </c>
      <c r="AK114" s="200" t="s">
        <v>34</v>
      </c>
      <c r="AL114" s="208" t="s">
        <v>34</v>
      </c>
      <c r="AM114" s="200">
        <v>2.2</v>
      </c>
      <c r="AN114" s="213">
        <v>0.0</v>
      </c>
      <c r="AX114" s="53"/>
      <c r="AY114" s="90">
        <v>3.96</v>
      </c>
      <c r="AZ114" s="78">
        <f t="shared" si="6"/>
        <v>64.55</v>
      </c>
      <c r="BG114" s="57"/>
      <c r="BH114" s="79">
        <f t="shared" si="7"/>
        <v>13.89</v>
      </c>
      <c r="BM114" s="77">
        <v>17.6</v>
      </c>
      <c r="BR114" s="75">
        <v>0.0</v>
      </c>
      <c r="BS114" s="75">
        <v>0.0</v>
      </c>
      <c r="BT114" s="72">
        <v>7.06</v>
      </c>
      <c r="BU114" s="75">
        <v>0.0</v>
      </c>
      <c r="BV114" s="72">
        <v>6.83</v>
      </c>
      <c r="BW114" s="83">
        <f t="shared" si="8"/>
        <v>13.89</v>
      </c>
      <c r="CI114" s="48"/>
      <c r="CJ114" s="281"/>
      <c r="CK114" s="286" t="s">
        <v>219</v>
      </c>
      <c r="CL114" s="283">
        <v>11864.0</v>
      </c>
      <c r="CM114" s="284">
        <v>0.14</v>
      </c>
      <c r="CN114" s="284">
        <v>1.0</v>
      </c>
      <c r="CO114" s="285">
        <v>0.23</v>
      </c>
      <c r="DC114" s="49"/>
    </row>
    <row r="115" ht="12.0" customHeight="1">
      <c r="H115" s="184" t="s">
        <v>114</v>
      </c>
      <c r="I115" s="185">
        <v>40.0</v>
      </c>
      <c r="J115" s="185">
        <v>7.0</v>
      </c>
      <c r="K115" s="200">
        <v>38.57</v>
      </c>
      <c r="L115" s="201">
        <v>4.0</v>
      </c>
      <c r="M115" s="200">
        <v>18.17</v>
      </c>
      <c r="N115" s="202">
        <v>1.0</v>
      </c>
      <c r="O115" s="200">
        <v>7.16</v>
      </c>
      <c r="P115" s="203">
        <v>0.0</v>
      </c>
      <c r="Q115" s="200" t="s">
        <v>34</v>
      </c>
      <c r="R115" s="204" t="s">
        <v>34</v>
      </c>
      <c r="S115" s="200">
        <v>18.3</v>
      </c>
      <c r="T115" s="205">
        <v>1.0</v>
      </c>
      <c r="U115" s="200">
        <v>17.45</v>
      </c>
      <c r="V115" s="206">
        <v>1.0</v>
      </c>
      <c r="W115" s="200" t="s">
        <v>34</v>
      </c>
      <c r="X115" s="207" t="s">
        <v>34</v>
      </c>
      <c r="Y115" s="200" t="s">
        <v>34</v>
      </c>
      <c r="Z115" s="208" t="s">
        <v>34</v>
      </c>
      <c r="AA115" s="200">
        <v>0.34</v>
      </c>
      <c r="AB115" s="209">
        <v>0.0</v>
      </c>
      <c r="AC115" s="200" t="s">
        <v>34</v>
      </c>
      <c r="AD115" s="210" t="s">
        <v>34</v>
      </c>
      <c r="AE115" s="200" t="s">
        <v>34</v>
      </c>
      <c r="AF115" s="211" t="s">
        <v>34</v>
      </c>
      <c r="AG115" s="200" t="s">
        <v>34</v>
      </c>
      <c r="AH115" s="208" t="s">
        <v>34</v>
      </c>
      <c r="AI115" s="200" t="s">
        <v>34</v>
      </c>
      <c r="AJ115" s="212" t="s">
        <v>34</v>
      </c>
      <c r="AK115" s="200" t="s">
        <v>34</v>
      </c>
      <c r="AL115" s="208" t="s">
        <v>34</v>
      </c>
      <c r="AM115" s="200">
        <v>0.01</v>
      </c>
      <c r="AN115" s="213">
        <v>0.0</v>
      </c>
      <c r="AX115" s="53"/>
      <c r="AY115" s="90">
        <v>7.12</v>
      </c>
      <c r="AZ115" s="78">
        <f t="shared" si="6"/>
        <v>66.08</v>
      </c>
      <c r="BG115" s="57"/>
      <c r="BH115" s="79">
        <f t="shared" si="7"/>
        <v>16.79</v>
      </c>
      <c r="BM115" s="77">
        <v>10.01</v>
      </c>
      <c r="BR115" s="75">
        <v>0.0</v>
      </c>
      <c r="BS115" s="75">
        <v>0.0</v>
      </c>
      <c r="BT115" s="72">
        <v>7.78</v>
      </c>
      <c r="BU115" s="75">
        <v>0.0</v>
      </c>
      <c r="BV115" s="72">
        <v>9.01</v>
      </c>
      <c r="BW115" s="83">
        <f t="shared" si="8"/>
        <v>16.79</v>
      </c>
      <c r="CI115" s="48"/>
      <c r="CJ115" s="289"/>
      <c r="CK115" s="290" t="s">
        <v>220</v>
      </c>
      <c r="CL115" s="291">
        <v>134869.0</v>
      </c>
      <c r="CM115" s="290">
        <v>1.54</v>
      </c>
      <c r="CN115" s="290">
        <v>0.0</v>
      </c>
      <c r="CO115" s="292">
        <v>0.0</v>
      </c>
      <c r="DC115" s="49"/>
    </row>
    <row r="116" ht="12.0" customHeight="1">
      <c r="H116" s="184" t="s">
        <v>116</v>
      </c>
      <c r="I116" s="185">
        <v>41.0</v>
      </c>
      <c r="J116" s="185">
        <v>4.0</v>
      </c>
      <c r="K116" s="200">
        <v>37.91</v>
      </c>
      <c r="L116" s="201">
        <v>2.0</v>
      </c>
      <c r="M116" s="200" t="s">
        <v>34</v>
      </c>
      <c r="N116" s="202" t="s">
        <v>34</v>
      </c>
      <c r="O116" s="200" t="s">
        <v>34</v>
      </c>
      <c r="P116" s="203" t="s">
        <v>34</v>
      </c>
      <c r="Q116" s="200" t="s">
        <v>34</v>
      </c>
      <c r="R116" s="204" t="s">
        <v>34</v>
      </c>
      <c r="S116" s="200">
        <v>26.44</v>
      </c>
      <c r="T116" s="205">
        <v>1.0</v>
      </c>
      <c r="U116" s="200">
        <v>2.49</v>
      </c>
      <c r="V116" s="206">
        <v>0.0</v>
      </c>
      <c r="W116" s="200" t="s">
        <v>34</v>
      </c>
      <c r="X116" s="207" t="s">
        <v>34</v>
      </c>
      <c r="Y116" s="200" t="s">
        <v>34</v>
      </c>
      <c r="Z116" s="208" t="s">
        <v>34</v>
      </c>
      <c r="AA116" s="200">
        <v>0.49</v>
      </c>
      <c r="AB116" s="209">
        <v>0.0</v>
      </c>
      <c r="AC116" s="200" t="s">
        <v>34</v>
      </c>
      <c r="AD116" s="210" t="s">
        <v>34</v>
      </c>
      <c r="AE116" s="200">
        <v>1.89</v>
      </c>
      <c r="AF116" s="211">
        <v>0.0</v>
      </c>
      <c r="AG116" s="200">
        <v>23.2</v>
      </c>
      <c r="AH116" s="208">
        <v>1.0</v>
      </c>
      <c r="AI116" s="200" t="s">
        <v>34</v>
      </c>
      <c r="AJ116" s="212" t="s">
        <v>34</v>
      </c>
      <c r="AK116" s="200" t="s">
        <v>34</v>
      </c>
      <c r="AL116" s="208" t="s">
        <v>34</v>
      </c>
      <c r="AM116" s="200">
        <v>7.58</v>
      </c>
      <c r="AN116" s="213">
        <v>0.0</v>
      </c>
      <c r="AX116" s="53"/>
      <c r="AY116" s="90">
        <v>14.31</v>
      </c>
      <c r="AZ116" s="78">
        <f t="shared" si="6"/>
        <v>70.16</v>
      </c>
      <c r="BG116" s="57"/>
      <c r="BH116" s="79">
        <f t="shared" si="7"/>
        <v>0</v>
      </c>
      <c r="BM116" s="77">
        <v>1.38</v>
      </c>
      <c r="BR116" s="75">
        <v>0.0</v>
      </c>
      <c r="BS116" s="75">
        <v>0.0</v>
      </c>
      <c r="BT116" s="75">
        <v>0.0</v>
      </c>
      <c r="BU116" s="75">
        <v>0.0</v>
      </c>
      <c r="BV116" s="72" t="s">
        <v>133</v>
      </c>
      <c r="BW116" s="83">
        <f t="shared" si="8"/>
        <v>0</v>
      </c>
      <c r="CI116" s="48"/>
      <c r="DC116" s="49"/>
    </row>
    <row r="117" ht="12.0" customHeight="1">
      <c r="H117" s="184" t="s">
        <v>116</v>
      </c>
      <c r="I117" s="185">
        <v>42.0</v>
      </c>
      <c r="J117" s="185">
        <v>8.0</v>
      </c>
      <c r="K117" s="200">
        <v>20.58</v>
      </c>
      <c r="L117" s="201">
        <v>2.0</v>
      </c>
      <c r="M117" s="200" t="s">
        <v>34</v>
      </c>
      <c r="N117" s="202" t="s">
        <v>34</v>
      </c>
      <c r="O117" s="200">
        <v>16.26</v>
      </c>
      <c r="P117" s="203">
        <v>1.0</v>
      </c>
      <c r="Q117" s="200">
        <v>19.51</v>
      </c>
      <c r="R117" s="204">
        <v>2.0</v>
      </c>
      <c r="S117" s="200">
        <v>27.0</v>
      </c>
      <c r="T117" s="205">
        <v>3.0</v>
      </c>
      <c r="U117" s="200">
        <v>1.78</v>
      </c>
      <c r="V117" s="206">
        <v>0.0</v>
      </c>
      <c r="W117" s="200">
        <v>1.65</v>
      </c>
      <c r="X117" s="207">
        <v>0.0</v>
      </c>
      <c r="Y117" s="200" t="s">
        <v>34</v>
      </c>
      <c r="Z117" s="208" t="s">
        <v>34</v>
      </c>
      <c r="AA117" s="200">
        <v>0.55</v>
      </c>
      <c r="AB117" s="209">
        <v>0.0</v>
      </c>
      <c r="AC117" s="200" t="s">
        <v>34</v>
      </c>
      <c r="AD117" s="210" t="s">
        <v>34</v>
      </c>
      <c r="AE117" s="200" t="s">
        <v>34</v>
      </c>
      <c r="AF117" s="211" t="s">
        <v>34</v>
      </c>
      <c r="AG117" s="200">
        <v>6.82</v>
      </c>
      <c r="AH117" s="208">
        <v>0.0</v>
      </c>
      <c r="AI117" s="200">
        <v>2.19</v>
      </c>
      <c r="AJ117" s="212">
        <v>0.0</v>
      </c>
      <c r="AK117" s="200" t="s">
        <v>34</v>
      </c>
      <c r="AL117" s="208" t="s">
        <v>34</v>
      </c>
      <c r="AM117" s="200">
        <v>3.66</v>
      </c>
      <c r="AN117" s="213">
        <v>0.0</v>
      </c>
      <c r="AX117" s="53"/>
      <c r="AY117" s="90">
        <v>16.39</v>
      </c>
      <c r="AZ117" s="78">
        <f t="shared" si="6"/>
        <v>61.23</v>
      </c>
      <c r="BG117" s="57"/>
      <c r="BH117" s="79">
        <f t="shared" si="7"/>
        <v>20.9</v>
      </c>
      <c r="BM117" s="77">
        <v>1.48</v>
      </c>
      <c r="BR117" s="75">
        <v>0.0</v>
      </c>
      <c r="BS117" s="72">
        <v>11.82</v>
      </c>
      <c r="BT117" s="75">
        <v>0.0</v>
      </c>
      <c r="BU117" s="75">
        <v>0.0</v>
      </c>
      <c r="BV117" s="72">
        <v>9.08</v>
      </c>
      <c r="BW117" s="83">
        <f t="shared" si="8"/>
        <v>20.9</v>
      </c>
      <c r="CI117" s="48"/>
      <c r="DC117" s="49"/>
    </row>
    <row r="118" ht="12.0" customHeight="1">
      <c r="H118" s="184" t="s">
        <v>121</v>
      </c>
      <c r="I118" s="185">
        <v>43.0</v>
      </c>
      <c r="J118" s="185">
        <v>7.0</v>
      </c>
      <c r="K118" s="200">
        <v>21.9</v>
      </c>
      <c r="L118" s="201">
        <v>2.0</v>
      </c>
      <c r="M118" s="200" t="s">
        <v>34</v>
      </c>
      <c r="N118" s="202" t="s">
        <v>34</v>
      </c>
      <c r="O118" s="200">
        <v>28.33</v>
      </c>
      <c r="P118" s="203">
        <v>2.0</v>
      </c>
      <c r="Q118" s="200">
        <v>9.78</v>
      </c>
      <c r="R118" s="204">
        <v>1.0</v>
      </c>
      <c r="S118" s="200">
        <v>17.3</v>
      </c>
      <c r="T118" s="205">
        <v>1.0</v>
      </c>
      <c r="U118" s="200">
        <v>1.34</v>
      </c>
      <c r="V118" s="206">
        <v>0.0</v>
      </c>
      <c r="W118" s="200">
        <v>12.2</v>
      </c>
      <c r="X118" s="207">
        <v>1.0</v>
      </c>
      <c r="Y118" s="200" t="s">
        <v>34</v>
      </c>
      <c r="Z118" s="208" t="s">
        <v>34</v>
      </c>
      <c r="AA118" s="200">
        <v>0.08</v>
      </c>
      <c r="AB118" s="209">
        <v>0.0</v>
      </c>
      <c r="AC118" s="200" t="s">
        <v>34</v>
      </c>
      <c r="AD118" s="210" t="s">
        <v>34</v>
      </c>
      <c r="AE118" s="200" t="s">
        <v>34</v>
      </c>
      <c r="AF118" s="211" t="s">
        <v>34</v>
      </c>
      <c r="AG118" s="200">
        <v>3.0</v>
      </c>
      <c r="AH118" s="208">
        <v>0.0</v>
      </c>
      <c r="AI118" s="200" t="s">
        <v>34</v>
      </c>
      <c r="AJ118" s="212" t="s">
        <v>34</v>
      </c>
      <c r="AK118" s="200" t="s">
        <v>34</v>
      </c>
      <c r="AL118" s="208" t="s">
        <v>34</v>
      </c>
      <c r="AM118" s="200">
        <v>6.07</v>
      </c>
      <c r="AN118" s="213">
        <v>0.0</v>
      </c>
      <c r="AX118" s="53"/>
      <c r="AY118" s="90">
        <v>18.11</v>
      </c>
      <c r="AZ118" s="78">
        <f t="shared" si="6"/>
        <v>44.23</v>
      </c>
      <c r="BG118" s="57"/>
      <c r="BH118" s="79">
        <f t="shared" si="7"/>
        <v>15.08</v>
      </c>
      <c r="BM118" s="77">
        <v>1.68</v>
      </c>
      <c r="BR118" s="75">
        <v>0.0</v>
      </c>
      <c r="BS118" s="72">
        <v>15.08</v>
      </c>
      <c r="BT118" s="75">
        <v>0.0</v>
      </c>
      <c r="BU118" s="75">
        <v>0.0</v>
      </c>
      <c r="BV118" s="72" t="s">
        <v>140</v>
      </c>
      <c r="BW118" s="83">
        <f t="shared" si="8"/>
        <v>15.08</v>
      </c>
      <c r="CI118" s="48"/>
      <c r="DC118" s="49"/>
    </row>
    <row r="119" ht="12.0" customHeight="1">
      <c r="H119" s="184" t="s">
        <v>123</v>
      </c>
      <c r="I119" s="185">
        <v>44.0</v>
      </c>
      <c r="J119" s="185">
        <v>6.0</v>
      </c>
      <c r="K119" s="200">
        <v>14.1</v>
      </c>
      <c r="L119" s="201">
        <v>1.0</v>
      </c>
      <c r="M119" s="200" t="s">
        <v>34</v>
      </c>
      <c r="N119" s="202" t="s">
        <v>34</v>
      </c>
      <c r="O119" s="200">
        <v>44.91</v>
      </c>
      <c r="P119" s="203">
        <v>3.0</v>
      </c>
      <c r="Q119" s="200">
        <v>0.34</v>
      </c>
      <c r="R119" s="204">
        <v>0.0</v>
      </c>
      <c r="S119" s="200">
        <v>14.11</v>
      </c>
      <c r="T119" s="205">
        <v>1.0</v>
      </c>
      <c r="U119" s="200" t="s">
        <v>34</v>
      </c>
      <c r="V119" s="206" t="s">
        <v>34</v>
      </c>
      <c r="W119" s="200">
        <v>14.7</v>
      </c>
      <c r="X119" s="207">
        <v>1.0</v>
      </c>
      <c r="Y119" s="200" t="s">
        <v>34</v>
      </c>
      <c r="Z119" s="208" t="s">
        <v>34</v>
      </c>
      <c r="AA119" s="200">
        <v>0.03</v>
      </c>
      <c r="AB119" s="209">
        <v>0.0</v>
      </c>
      <c r="AC119" s="200" t="s">
        <v>34</v>
      </c>
      <c r="AD119" s="210" t="s">
        <v>34</v>
      </c>
      <c r="AE119" s="200" t="s">
        <v>34</v>
      </c>
      <c r="AF119" s="211" t="s">
        <v>34</v>
      </c>
      <c r="AG119" s="200">
        <v>6.23</v>
      </c>
      <c r="AH119" s="208">
        <v>0.0</v>
      </c>
      <c r="AI119" s="200">
        <v>2.11</v>
      </c>
      <c r="AJ119" s="212">
        <v>0.0</v>
      </c>
      <c r="AK119" s="200" t="s">
        <v>34</v>
      </c>
      <c r="AL119" s="208" t="s">
        <v>34</v>
      </c>
      <c r="AM119" s="200">
        <v>3.47</v>
      </c>
      <c r="AN119" s="213">
        <v>0.0</v>
      </c>
      <c r="AX119" s="53"/>
      <c r="AY119" s="76">
        <v>42.88</v>
      </c>
      <c r="AZ119" s="78">
        <f t="shared" si="6"/>
        <v>23.07</v>
      </c>
      <c r="BG119" s="57"/>
      <c r="BH119" s="79">
        <f t="shared" si="7"/>
        <v>34.05</v>
      </c>
      <c r="BM119" s="80">
        <v>0.0</v>
      </c>
      <c r="BR119" s="75">
        <v>0.0</v>
      </c>
      <c r="BS119" s="72">
        <v>30.95</v>
      </c>
      <c r="BT119" s="75">
        <v>0.0</v>
      </c>
      <c r="BU119" s="75">
        <v>0.0</v>
      </c>
      <c r="BV119" s="72">
        <v>3.1</v>
      </c>
      <c r="BW119" s="83">
        <f t="shared" si="8"/>
        <v>34.05</v>
      </c>
      <c r="CI119" s="48"/>
      <c r="DC119" s="49"/>
    </row>
    <row r="120" ht="12.0" customHeight="1">
      <c r="H120" s="184" t="s">
        <v>125</v>
      </c>
      <c r="I120" s="185">
        <v>45.0</v>
      </c>
      <c r="J120" s="185">
        <v>7.0</v>
      </c>
      <c r="K120" s="200">
        <v>3.96</v>
      </c>
      <c r="L120" s="201">
        <v>0.0</v>
      </c>
      <c r="M120" s="200" t="s">
        <v>34</v>
      </c>
      <c r="N120" s="202" t="s">
        <v>34</v>
      </c>
      <c r="O120" s="200">
        <v>50.84</v>
      </c>
      <c r="P120" s="203">
        <v>5.0</v>
      </c>
      <c r="Q120" s="200">
        <v>0.11</v>
      </c>
      <c r="R120" s="204">
        <v>0.0</v>
      </c>
      <c r="S120" s="200">
        <v>7.53</v>
      </c>
      <c r="T120" s="205">
        <v>0.0</v>
      </c>
      <c r="U120" s="200">
        <v>0.6</v>
      </c>
      <c r="V120" s="206">
        <v>0.0</v>
      </c>
      <c r="W120" s="200">
        <v>17.6</v>
      </c>
      <c r="X120" s="207">
        <v>2.0</v>
      </c>
      <c r="Y120" s="200" t="s">
        <v>34</v>
      </c>
      <c r="Z120" s="208" t="s">
        <v>34</v>
      </c>
      <c r="AA120" s="200" t="s">
        <v>34</v>
      </c>
      <c r="AB120" s="209" t="s">
        <v>34</v>
      </c>
      <c r="AC120" s="200" t="s">
        <v>34</v>
      </c>
      <c r="AD120" s="210" t="s">
        <v>34</v>
      </c>
      <c r="AE120" s="200">
        <v>0.54</v>
      </c>
      <c r="AF120" s="211">
        <v>0.0</v>
      </c>
      <c r="AG120" s="200">
        <v>7.06</v>
      </c>
      <c r="AH120" s="208">
        <v>0.0</v>
      </c>
      <c r="AI120" s="200">
        <v>4.93</v>
      </c>
      <c r="AJ120" s="212">
        <v>0.0</v>
      </c>
      <c r="AK120" s="200" t="s">
        <v>34</v>
      </c>
      <c r="AL120" s="208" t="s">
        <v>34</v>
      </c>
      <c r="AM120" s="200">
        <v>6.83</v>
      </c>
      <c r="AN120" s="213">
        <v>0.0</v>
      </c>
      <c r="AX120" s="53"/>
      <c r="AY120" s="90">
        <v>15.41</v>
      </c>
      <c r="AZ120" s="78">
        <f t="shared" si="6"/>
        <v>55.71</v>
      </c>
      <c r="BG120" s="57"/>
      <c r="BH120" s="79">
        <f t="shared" si="7"/>
        <v>23.34</v>
      </c>
      <c r="BM120" s="77">
        <v>5.54</v>
      </c>
      <c r="BR120" s="75">
        <v>0.0</v>
      </c>
      <c r="BS120" s="72">
        <v>17.71</v>
      </c>
      <c r="BT120" s="75">
        <v>0.0</v>
      </c>
      <c r="BU120" s="75">
        <v>0.0</v>
      </c>
      <c r="BV120" s="72">
        <v>5.63</v>
      </c>
      <c r="BW120" s="83">
        <f t="shared" si="8"/>
        <v>23.34</v>
      </c>
      <c r="CI120" s="48"/>
      <c r="DC120" s="49"/>
    </row>
    <row r="121" ht="12.0" customHeight="1">
      <c r="H121" s="184" t="s">
        <v>127</v>
      </c>
      <c r="I121" s="185">
        <v>46.0</v>
      </c>
      <c r="J121" s="185">
        <v>6.0</v>
      </c>
      <c r="K121" s="200">
        <v>7.12</v>
      </c>
      <c r="L121" s="201">
        <v>0.0</v>
      </c>
      <c r="M121" s="200" t="s">
        <v>34</v>
      </c>
      <c r="N121" s="202" t="s">
        <v>34</v>
      </c>
      <c r="O121" s="200">
        <v>39.14</v>
      </c>
      <c r="P121" s="203">
        <v>4.0</v>
      </c>
      <c r="Q121" s="200">
        <v>2.53</v>
      </c>
      <c r="R121" s="204">
        <v>0.0</v>
      </c>
      <c r="S121" s="200">
        <v>4.96</v>
      </c>
      <c r="T121" s="205">
        <v>0.0</v>
      </c>
      <c r="U121" s="200" t="s">
        <v>34</v>
      </c>
      <c r="V121" s="206" t="s">
        <v>34</v>
      </c>
      <c r="W121" s="200">
        <v>10.01</v>
      </c>
      <c r="X121" s="207">
        <v>1.0</v>
      </c>
      <c r="Y121" s="200" t="s">
        <v>34</v>
      </c>
      <c r="Z121" s="208" t="s">
        <v>34</v>
      </c>
      <c r="AA121" s="200">
        <v>4.29</v>
      </c>
      <c r="AB121" s="209">
        <v>0.0</v>
      </c>
      <c r="AC121" s="200">
        <v>5.67</v>
      </c>
      <c r="AD121" s="210">
        <v>0.0</v>
      </c>
      <c r="AE121" s="200" t="s">
        <v>34</v>
      </c>
      <c r="AF121" s="211" t="s">
        <v>34</v>
      </c>
      <c r="AG121" s="200">
        <v>7.78</v>
      </c>
      <c r="AH121" s="208">
        <v>0.0</v>
      </c>
      <c r="AI121" s="200">
        <v>9.49</v>
      </c>
      <c r="AJ121" s="212">
        <v>1.0</v>
      </c>
      <c r="AK121" s="200" t="s">
        <v>34</v>
      </c>
      <c r="AL121" s="208" t="s">
        <v>34</v>
      </c>
      <c r="AM121" s="200">
        <v>9.01</v>
      </c>
      <c r="AN121" s="213">
        <v>0.0</v>
      </c>
      <c r="AX121" s="53"/>
      <c r="AY121" s="90">
        <v>20.7</v>
      </c>
      <c r="AZ121" s="78">
        <f t="shared" si="6"/>
        <v>35.89</v>
      </c>
      <c r="BG121" s="57"/>
      <c r="BH121" s="79">
        <f t="shared" si="7"/>
        <v>25.4</v>
      </c>
      <c r="BM121" s="80">
        <v>0.0</v>
      </c>
      <c r="BR121" s="75">
        <v>0.0</v>
      </c>
      <c r="BS121" s="106">
        <v>25.4</v>
      </c>
      <c r="BT121" s="75">
        <v>0.0</v>
      </c>
      <c r="BU121" s="75">
        <v>0.0</v>
      </c>
      <c r="BV121" s="72" t="s">
        <v>149</v>
      </c>
      <c r="BW121" s="83">
        <f t="shared" si="8"/>
        <v>25.4</v>
      </c>
      <c r="CI121" s="48"/>
      <c r="DC121" s="49"/>
    </row>
    <row r="122" ht="12.0" customHeight="1">
      <c r="H122" s="184" t="s">
        <v>129</v>
      </c>
      <c r="I122" s="185">
        <v>47.0</v>
      </c>
      <c r="J122" s="185">
        <v>7.0</v>
      </c>
      <c r="K122" s="200">
        <v>14.31</v>
      </c>
      <c r="L122" s="201">
        <v>1.0</v>
      </c>
      <c r="M122" s="200" t="s">
        <v>34</v>
      </c>
      <c r="N122" s="202" t="s">
        <v>34</v>
      </c>
      <c r="O122" s="200">
        <v>50.42</v>
      </c>
      <c r="P122" s="203">
        <v>5.0</v>
      </c>
      <c r="Q122" s="200">
        <v>8.09</v>
      </c>
      <c r="R122" s="204">
        <v>0.0</v>
      </c>
      <c r="S122" s="200">
        <v>5.39</v>
      </c>
      <c r="T122" s="205">
        <v>0.0</v>
      </c>
      <c r="U122" s="200">
        <v>0.96</v>
      </c>
      <c r="V122" s="206">
        <v>0.0</v>
      </c>
      <c r="W122" s="200">
        <v>1.38</v>
      </c>
      <c r="X122" s="207">
        <v>0.0</v>
      </c>
      <c r="Y122" s="200" t="s">
        <v>34</v>
      </c>
      <c r="Z122" s="208" t="s">
        <v>34</v>
      </c>
      <c r="AA122" s="200">
        <v>0.06</v>
      </c>
      <c r="AB122" s="209">
        <v>0.0</v>
      </c>
      <c r="AC122" s="200">
        <v>1.54</v>
      </c>
      <c r="AD122" s="210">
        <v>0.0</v>
      </c>
      <c r="AE122" s="200" t="s">
        <v>34</v>
      </c>
      <c r="AF122" s="211" t="s">
        <v>34</v>
      </c>
      <c r="AG122" s="200" t="s">
        <v>34</v>
      </c>
      <c r="AH122" s="208" t="s">
        <v>34</v>
      </c>
      <c r="AI122" s="200">
        <v>3.7</v>
      </c>
      <c r="AJ122" s="212">
        <v>0.0</v>
      </c>
      <c r="AK122" s="200" t="s">
        <v>34</v>
      </c>
      <c r="AL122" s="208" t="s">
        <v>34</v>
      </c>
      <c r="AM122" s="200">
        <v>14.15</v>
      </c>
      <c r="AN122" s="213">
        <v>1.0</v>
      </c>
      <c r="AX122" s="53"/>
      <c r="AY122" s="90">
        <v>20.45</v>
      </c>
      <c r="AZ122" s="78">
        <f t="shared" si="6"/>
        <v>24.23</v>
      </c>
      <c r="BG122" s="57"/>
      <c r="BH122" s="79">
        <f t="shared" si="7"/>
        <v>22.42</v>
      </c>
      <c r="BM122" s="80">
        <v>0.0</v>
      </c>
      <c r="BR122" s="75">
        <v>0.0</v>
      </c>
      <c r="BS122" s="72">
        <v>22.42</v>
      </c>
      <c r="BT122" s="75">
        <v>0.0</v>
      </c>
      <c r="BU122" s="75">
        <v>0.0</v>
      </c>
      <c r="BV122" s="108" t="s">
        <v>154</v>
      </c>
      <c r="BW122" s="83">
        <f t="shared" si="8"/>
        <v>22.42</v>
      </c>
      <c r="CI122" s="48"/>
      <c r="DC122" s="49"/>
    </row>
    <row r="123" ht="12.0" customHeight="1">
      <c r="H123" s="184" t="s">
        <v>134</v>
      </c>
      <c r="I123" s="185">
        <v>48.0</v>
      </c>
      <c r="J123" s="185">
        <v>6.0</v>
      </c>
      <c r="K123" s="200">
        <v>16.39</v>
      </c>
      <c r="L123" s="201">
        <v>1.0</v>
      </c>
      <c r="M123" s="200" t="s">
        <v>34</v>
      </c>
      <c r="N123" s="202" t="s">
        <v>34</v>
      </c>
      <c r="O123" s="200">
        <v>27.87</v>
      </c>
      <c r="P123" s="203">
        <v>2.0</v>
      </c>
      <c r="Q123" s="200">
        <v>6.22</v>
      </c>
      <c r="R123" s="204">
        <v>0.0</v>
      </c>
      <c r="S123" s="200">
        <v>10.41</v>
      </c>
      <c r="T123" s="205">
        <v>1.0</v>
      </c>
      <c r="U123" s="200" t="s">
        <v>34</v>
      </c>
      <c r="V123" s="206" t="s">
        <v>34</v>
      </c>
      <c r="W123" s="200">
        <v>1.48</v>
      </c>
      <c r="X123" s="207">
        <v>0.0</v>
      </c>
      <c r="Y123" s="200">
        <v>11.82</v>
      </c>
      <c r="Z123" s="208">
        <v>1.0</v>
      </c>
      <c r="AA123" s="200">
        <v>0.62</v>
      </c>
      <c r="AB123" s="209">
        <v>0.0</v>
      </c>
      <c r="AC123" s="200" t="s">
        <v>34</v>
      </c>
      <c r="AD123" s="210" t="s">
        <v>34</v>
      </c>
      <c r="AE123" s="200">
        <v>0.31</v>
      </c>
      <c r="AF123" s="211">
        <v>0.0</v>
      </c>
      <c r="AG123" s="200" t="s">
        <v>34</v>
      </c>
      <c r="AH123" s="208" t="s">
        <v>34</v>
      </c>
      <c r="AI123" s="200">
        <v>15.8</v>
      </c>
      <c r="AJ123" s="212">
        <v>1.0</v>
      </c>
      <c r="AK123" s="200" t="s">
        <v>34</v>
      </c>
      <c r="AL123" s="208" t="s">
        <v>34</v>
      </c>
      <c r="AM123" s="200">
        <v>9.08</v>
      </c>
      <c r="AN123" s="213">
        <v>0.0</v>
      </c>
      <c r="AX123" s="53"/>
      <c r="AY123" s="90">
        <v>23.78</v>
      </c>
      <c r="AZ123" s="78">
        <f t="shared" si="6"/>
        <v>47.95</v>
      </c>
      <c r="BG123" s="57"/>
      <c r="BH123" s="79">
        <f t="shared" si="7"/>
        <v>28.27</v>
      </c>
      <c r="BM123" s="80">
        <v>0.0</v>
      </c>
      <c r="BR123" s="75">
        <v>0.0</v>
      </c>
      <c r="BS123" s="72">
        <v>18.14</v>
      </c>
      <c r="BT123" s="75">
        <v>0.0</v>
      </c>
      <c r="BU123" s="75">
        <v>0.0</v>
      </c>
      <c r="BV123" s="72">
        <v>10.13</v>
      </c>
      <c r="BW123" s="83">
        <f t="shared" si="8"/>
        <v>28.27</v>
      </c>
      <c r="CI123" s="48"/>
      <c r="DC123" s="49"/>
    </row>
    <row r="124" ht="12.0" customHeight="1">
      <c r="H124" s="184" t="s">
        <v>136</v>
      </c>
      <c r="I124" s="185">
        <v>49.0</v>
      </c>
      <c r="J124" s="185">
        <v>6.0</v>
      </c>
      <c r="K124" s="200">
        <v>18.11</v>
      </c>
      <c r="L124" s="201">
        <v>1.0</v>
      </c>
      <c r="M124" s="200" t="s">
        <v>34</v>
      </c>
      <c r="N124" s="202" t="s">
        <v>34</v>
      </c>
      <c r="O124" s="200">
        <v>33.91</v>
      </c>
      <c r="P124" s="203">
        <v>3.0</v>
      </c>
      <c r="Q124" s="200">
        <v>2.43</v>
      </c>
      <c r="R124" s="204">
        <v>0.0</v>
      </c>
      <c r="S124" s="200">
        <v>6.21</v>
      </c>
      <c r="T124" s="205">
        <v>0.0</v>
      </c>
      <c r="U124" s="200">
        <v>0.6</v>
      </c>
      <c r="V124" s="206">
        <v>0.0</v>
      </c>
      <c r="W124" s="200">
        <v>1.68</v>
      </c>
      <c r="X124" s="207">
        <v>0.0</v>
      </c>
      <c r="Y124" s="200">
        <v>15.08</v>
      </c>
      <c r="Z124" s="208">
        <v>1.0</v>
      </c>
      <c r="AA124" s="200" t="s">
        <v>34</v>
      </c>
      <c r="AB124" s="209" t="s">
        <v>34</v>
      </c>
      <c r="AC124" s="200" t="s">
        <v>34</v>
      </c>
      <c r="AD124" s="210" t="s">
        <v>34</v>
      </c>
      <c r="AE124" s="200">
        <v>0.11</v>
      </c>
      <c r="AF124" s="211">
        <v>0.0</v>
      </c>
      <c r="AG124" s="200" t="s">
        <v>34</v>
      </c>
      <c r="AH124" s="208" t="s">
        <v>34</v>
      </c>
      <c r="AI124" s="200">
        <v>0.97</v>
      </c>
      <c r="AJ124" s="212">
        <v>0.0</v>
      </c>
      <c r="AK124" s="200" t="s">
        <v>34</v>
      </c>
      <c r="AL124" s="208" t="s">
        <v>34</v>
      </c>
      <c r="AM124" s="200">
        <v>20.9</v>
      </c>
      <c r="AN124" s="213">
        <v>1.0</v>
      </c>
      <c r="AX124" s="53"/>
      <c r="AY124" s="90">
        <v>28.1</v>
      </c>
      <c r="AZ124" s="78">
        <f t="shared" si="6"/>
        <v>42.35</v>
      </c>
      <c r="BG124" s="57"/>
      <c r="BH124" s="79">
        <f t="shared" si="7"/>
        <v>21.58</v>
      </c>
      <c r="BM124" s="80">
        <v>0.0</v>
      </c>
      <c r="BR124" s="75">
        <v>0.0</v>
      </c>
      <c r="BS124" s="72">
        <v>21.58</v>
      </c>
      <c r="BT124" s="75">
        <v>0.0</v>
      </c>
      <c r="BU124" s="75">
        <v>0.0</v>
      </c>
      <c r="BV124" s="72" t="s">
        <v>160</v>
      </c>
      <c r="BW124" s="83">
        <f t="shared" si="8"/>
        <v>21.58</v>
      </c>
      <c r="CI124" s="48"/>
      <c r="DC124" s="49"/>
    </row>
    <row r="125" ht="12.0" customHeight="1">
      <c r="H125" s="184" t="s">
        <v>141</v>
      </c>
      <c r="I125" s="185">
        <v>50.0</v>
      </c>
      <c r="J125" s="185">
        <v>4.0</v>
      </c>
      <c r="K125" s="200">
        <v>42.88</v>
      </c>
      <c r="L125" s="201">
        <v>2.0</v>
      </c>
      <c r="M125" s="200" t="s">
        <v>34</v>
      </c>
      <c r="N125" s="202" t="s">
        <v>34</v>
      </c>
      <c r="O125" s="200">
        <v>0.31</v>
      </c>
      <c r="P125" s="203">
        <v>0.0</v>
      </c>
      <c r="Q125" s="200" t="s">
        <v>34</v>
      </c>
      <c r="R125" s="204" t="s">
        <v>34</v>
      </c>
      <c r="S125" s="200">
        <v>17.87</v>
      </c>
      <c r="T125" s="205">
        <v>1.0</v>
      </c>
      <c r="U125" s="200" t="s">
        <v>34</v>
      </c>
      <c r="V125" s="206" t="s">
        <v>34</v>
      </c>
      <c r="W125" s="200" t="s">
        <v>34</v>
      </c>
      <c r="X125" s="207" t="s">
        <v>34</v>
      </c>
      <c r="Y125" s="200">
        <v>30.95</v>
      </c>
      <c r="Z125" s="208">
        <v>1.0</v>
      </c>
      <c r="AA125" s="200">
        <v>0.42</v>
      </c>
      <c r="AB125" s="209">
        <v>0.0</v>
      </c>
      <c r="AC125" s="200" t="s">
        <v>34</v>
      </c>
      <c r="AD125" s="210" t="s">
        <v>34</v>
      </c>
      <c r="AE125" s="200">
        <v>4.47</v>
      </c>
      <c r="AF125" s="211">
        <v>0.0</v>
      </c>
      <c r="AG125" s="200" t="s">
        <v>34</v>
      </c>
      <c r="AH125" s="208" t="s">
        <v>34</v>
      </c>
      <c r="AI125" s="200" t="s">
        <v>34</v>
      </c>
      <c r="AJ125" s="212" t="s">
        <v>34</v>
      </c>
      <c r="AK125" s="200" t="s">
        <v>34</v>
      </c>
      <c r="AL125" s="208" t="s">
        <v>34</v>
      </c>
      <c r="AM125" s="200">
        <v>3.1</v>
      </c>
      <c r="AN125" s="213">
        <v>0.0</v>
      </c>
      <c r="AX125" s="53"/>
      <c r="AY125" s="110">
        <v>0.0</v>
      </c>
      <c r="AZ125" s="78">
        <f t="shared" si="6"/>
        <v>5.06</v>
      </c>
      <c r="BG125" s="57"/>
      <c r="BH125" s="79">
        <f t="shared" si="7"/>
        <v>91.7</v>
      </c>
      <c r="BM125" s="77">
        <v>3.24</v>
      </c>
      <c r="BR125" s="89">
        <v>84.48</v>
      </c>
      <c r="BS125" s="75">
        <v>0.0</v>
      </c>
      <c r="BT125" s="75">
        <v>0.0</v>
      </c>
      <c r="BU125" s="72">
        <v>1.05</v>
      </c>
      <c r="BV125" s="72">
        <v>6.17</v>
      </c>
      <c r="BW125" s="83">
        <f t="shared" si="8"/>
        <v>91.7</v>
      </c>
      <c r="CI125" s="48"/>
      <c r="CK125" s="232" t="s">
        <v>184</v>
      </c>
      <c r="CL125" s="148"/>
      <c r="CM125" s="148"/>
      <c r="CN125" s="148"/>
      <c r="CO125" s="149"/>
      <c r="CQ125" s="232" t="s">
        <v>6</v>
      </c>
      <c r="CR125" s="148"/>
      <c r="CS125" s="148"/>
      <c r="CT125" s="148"/>
      <c r="CU125" s="149"/>
      <c r="CW125" s="232" t="s">
        <v>7</v>
      </c>
      <c r="CX125" s="148"/>
      <c r="CY125" s="148"/>
      <c r="CZ125" s="148"/>
      <c r="DA125" s="149"/>
      <c r="DC125" s="49"/>
    </row>
    <row r="126" ht="12.0" customHeight="1">
      <c r="H126" s="184" t="s">
        <v>143</v>
      </c>
      <c r="I126" s="185">
        <v>51.0</v>
      </c>
      <c r="J126" s="185">
        <v>7.0</v>
      </c>
      <c r="K126" s="200">
        <v>15.41</v>
      </c>
      <c r="L126" s="201">
        <v>1.0</v>
      </c>
      <c r="M126" s="200" t="s">
        <v>34</v>
      </c>
      <c r="N126" s="202" t="s">
        <v>34</v>
      </c>
      <c r="O126" s="200">
        <v>42.59</v>
      </c>
      <c r="P126" s="203">
        <v>4.0</v>
      </c>
      <c r="Q126" s="200">
        <v>0.53</v>
      </c>
      <c r="R126" s="204">
        <v>0.0</v>
      </c>
      <c r="S126" s="200">
        <v>10.01</v>
      </c>
      <c r="T126" s="205">
        <v>1.0</v>
      </c>
      <c r="U126" s="200" t="s">
        <v>34</v>
      </c>
      <c r="V126" s="206" t="s">
        <v>34</v>
      </c>
      <c r="W126" s="200">
        <v>5.54</v>
      </c>
      <c r="X126" s="207">
        <v>0.0</v>
      </c>
      <c r="Y126" s="200">
        <v>17.71</v>
      </c>
      <c r="Z126" s="208">
        <v>1.0</v>
      </c>
      <c r="AA126" s="200">
        <v>0.04</v>
      </c>
      <c r="AB126" s="209">
        <v>0.0</v>
      </c>
      <c r="AC126" s="200" t="s">
        <v>34</v>
      </c>
      <c r="AD126" s="210" t="s">
        <v>34</v>
      </c>
      <c r="AE126" s="200">
        <v>1.45</v>
      </c>
      <c r="AF126" s="211">
        <v>0.0</v>
      </c>
      <c r="AG126" s="200" t="s">
        <v>34</v>
      </c>
      <c r="AH126" s="208" t="s">
        <v>34</v>
      </c>
      <c r="AI126" s="200">
        <v>1.09</v>
      </c>
      <c r="AJ126" s="212">
        <v>0.0</v>
      </c>
      <c r="AK126" s="200" t="s">
        <v>34</v>
      </c>
      <c r="AL126" s="208" t="s">
        <v>34</v>
      </c>
      <c r="AM126" s="200">
        <v>5.63</v>
      </c>
      <c r="AN126" s="213">
        <v>0.0</v>
      </c>
      <c r="AX126" s="53"/>
      <c r="AY126" s="90">
        <v>5.02</v>
      </c>
      <c r="AZ126" s="78">
        <f t="shared" si="6"/>
        <v>5</v>
      </c>
      <c r="BG126" s="57"/>
      <c r="BH126" s="79">
        <f t="shared" si="7"/>
        <v>89.98</v>
      </c>
      <c r="BM126" s="80">
        <v>0.0</v>
      </c>
      <c r="BR126" s="89">
        <v>66.3</v>
      </c>
      <c r="BS126" s="75">
        <v>0.0</v>
      </c>
      <c r="BT126" s="75">
        <v>0.0</v>
      </c>
      <c r="BU126" s="72">
        <v>2.61</v>
      </c>
      <c r="BV126" s="72">
        <v>21.07</v>
      </c>
      <c r="BW126" s="83">
        <f t="shared" si="8"/>
        <v>89.98</v>
      </c>
      <c r="CI126" s="48"/>
      <c r="CK126" s="151" t="s">
        <v>185</v>
      </c>
      <c r="CL126" s="151" t="s">
        <v>186</v>
      </c>
      <c r="CM126" s="152" t="s">
        <v>187</v>
      </c>
      <c r="CN126" s="151" t="s">
        <v>188</v>
      </c>
      <c r="CO126" s="154" t="s">
        <v>189</v>
      </c>
      <c r="CQ126" s="151" t="s">
        <v>185</v>
      </c>
      <c r="CR126" s="152" t="s">
        <v>186</v>
      </c>
      <c r="CS126" s="151" t="s">
        <v>187</v>
      </c>
      <c r="CT126" s="153" t="s">
        <v>188</v>
      </c>
      <c r="CU126" s="154" t="s">
        <v>189</v>
      </c>
      <c r="CW126" s="151" t="s">
        <v>185</v>
      </c>
      <c r="CX126" s="152" t="s">
        <v>186</v>
      </c>
      <c r="CY126" s="151" t="s">
        <v>187</v>
      </c>
      <c r="CZ126" s="153" t="s">
        <v>188</v>
      </c>
      <c r="DA126" s="154" t="s">
        <v>189</v>
      </c>
      <c r="DC126" s="49"/>
    </row>
    <row r="127" ht="12.0" customHeight="1">
      <c r="H127" s="184" t="s">
        <v>145</v>
      </c>
      <c r="I127" s="185">
        <v>52.0</v>
      </c>
      <c r="J127" s="185">
        <v>6.0</v>
      </c>
      <c r="K127" s="200">
        <v>20.7</v>
      </c>
      <c r="L127" s="201">
        <v>1.0</v>
      </c>
      <c r="M127" s="200" t="s">
        <v>34</v>
      </c>
      <c r="N127" s="202" t="s">
        <v>34</v>
      </c>
      <c r="O127" s="200">
        <v>15.53</v>
      </c>
      <c r="P127" s="203">
        <v>1.0</v>
      </c>
      <c r="Q127" s="200" t="s">
        <v>34</v>
      </c>
      <c r="R127" s="204" t="s">
        <v>34</v>
      </c>
      <c r="S127" s="200">
        <v>19.99</v>
      </c>
      <c r="T127" s="205">
        <v>1.0</v>
      </c>
      <c r="U127" s="200" t="s">
        <v>34</v>
      </c>
      <c r="V127" s="206" t="s">
        <v>34</v>
      </c>
      <c r="W127" s="200" t="s">
        <v>34</v>
      </c>
      <c r="X127" s="207" t="s">
        <v>34</v>
      </c>
      <c r="Y127" s="200">
        <v>25.4</v>
      </c>
      <c r="Z127" s="208">
        <v>2.0</v>
      </c>
      <c r="AA127" s="200" t="s">
        <v>34</v>
      </c>
      <c r="AB127" s="209" t="s">
        <v>34</v>
      </c>
      <c r="AC127" s="200" t="s">
        <v>34</v>
      </c>
      <c r="AD127" s="210" t="s">
        <v>34</v>
      </c>
      <c r="AE127" s="200">
        <v>0.37</v>
      </c>
      <c r="AF127" s="211">
        <v>0.0</v>
      </c>
      <c r="AG127" s="200" t="s">
        <v>34</v>
      </c>
      <c r="AH127" s="208" t="s">
        <v>34</v>
      </c>
      <c r="AI127" s="200" t="s">
        <v>34</v>
      </c>
      <c r="AJ127" s="212" t="s">
        <v>34</v>
      </c>
      <c r="AK127" s="200" t="s">
        <v>34</v>
      </c>
      <c r="AL127" s="208" t="s">
        <v>34</v>
      </c>
      <c r="AM127" s="200">
        <v>18.21</v>
      </c>
      <c r="AN127" s="213">
        <v>1.0</v>
      </c>
      <c r="AX127" s="53"/>
      <c r="AY127" s="90">
        <v>3.06</v>
      </c>
      <c r="AZ127" s="78">
        <f t="shared" si="6"/>
        <v>0.73</v>
      </c>
      <c r="BG127" s="57"/>
      <c r="BH127" s="79">
        <f t="shared" si="7"/>
        <v>96.21</v>
      </c>
      <c r="BM127" s="80">
        <v>0.0</v>
      </c>
      <c r="BR127" s="89">
        <v>87.47</v>
      </c>
      <c r="BS127" s="75">
        <v>0.0</v>
      </c>
      <c r="BT127" s="75">
        <v>0.0</v>
      </c>
      <c r="BU127" s="72">
        <v>1.17</v>
      </c>
      <c r="BV127" s="72">
        <v>7.57</v>
      </c>
      <c r="BW127" s="83">
        <f t="shared" si="8"/>
        <v>96.21</v>
      </c>
      <c r="CI127" s="48"/>
      <c r="CK127" s="155" t="s">
        <v>12</v>
      </c>
      <c r="CL127" s="154">
        <v>110.0</v>
      </c>
      <c r="CM127" s="154">
        <v>29.0</v>
      </c>
      <c r="CN127" s="154">
        <v>139.0</v>
      </c>
      <c r="CO127" s="158">
        <v>0.3130630630630631</v>
      </c>
      <c r="CQ127" s="155" t="s">
        <v>12</v>
      </c>
      <c r="CR127" s="154">
        <v>108.0</v>
      </c>
      <c r="CS127" s="154">
        <v>29.0</v>
      </c>
      <c r="CT127" s="154">
        <v>137.0</v>
      </c>
      <c r="CU127" s="158">
        <v>0.30855855855855857</v>
      </c>
      <c r="CW127" s="159" t="s">
        <v>190</v>
      </c>
      <c r="CX127" s="154">
        <v>118.0</v>
      </c>
      <c r="CY127" s="154">
        <v>29.0</v>
      </c>
      <c r="CZ127" s="154">
        <v>147.0</v>
      </c>
      <c r="DA127" s="158">
        <v>0.3310810810810811</v>
      </c>
      <c r="DC127" s="49"/>
    </row>
    <row r="128" ht="12.0" customHeight="1">
      <c r="H128" s="184" t="s">
        <v>150</v>
      </c>
      <c r="I128" s="185">
        <v>53.0</v>
      </c>
      <c r="J128" s="185">
        <v>9.0</v>
      </c>
      <c r="K128" s="200">
        <v>20.45</v>
      </c>
      <c r="L128" s="201">
        <v>2.0</v>
      </c>
      <c r="M128" s="200" t="s">
        <v>34</v>
      </c>
      <c r="N128" s="202" t="s">
        <v>34</v>
      </c>
      <c r="O128" s="200">
        <v>13.82</v>
      </c>
      <c r="P128" s="203">
        <v>1.0</v>
      </c>
      <c r="Q128" s="200">
        <v>0.45</v>
      </c>
      <c r="R128" s="204">
        <v>0.0</v>
      </c>
      <c r="S128" s="200">
        <v>6.69</v>
      </c>
      <c r="T128" s="205">
        <v>0.0</v>
      </c>
      <c r="U128" s="200" t="s">
        <v>34</v>
      </c>
      <c r="V128" s="206" t="s">
        <v>34</v>
      </c>
      <c r="W128" s="200" t="s">
        <v>34</v>
      </c>
      <c r="X128" s="207" t="s">
        <v>34</v>
      </c>
      <c r="Y128" s="200">
        <v>22.42</v>
      </c>
      <c r="Z128" s="208">
        <v>3.0</v>
      </c>
      <c r="AA128" s="200">
        <v>0.11</v>
      </c>
      <c r="AB128" s="209">
        <v>0.0</v>
      </c>
      <c r="AC128" s="200" t="s">
        <v>34</v>
      </c>
      <c r="AD128" s="210" t="s">
        <v>34</v>
      </c>
      <c r="AE128" s="200">
        <v>3.16</v>
      </c>
      <c r="AF128" s="211">
        <v>0.0</v>
      </c>
      <c r="AG128" s="200" t="s">
        <v>34</v>
      </c>
      <c r="AH128" s="208" t="s">
        <v>34</v>
      </c>
      <c r="AI128" s="200" t="s">
        <v>34</v>
      </c>
      <c r="AJ128" s="212" t="s">
        <v>34</v>
      </c>
      <c r="AK128" s="200" t="s">
        <v>34</v>
      </c>
      <c r="AL128" s="208" t="s">
        <v>34</v>
      </c>
      <c r="AM128" s="200">
        <v>32.9</v>
      </c>
      <c r="AN128" s="213">
        <v>3.0</v>
      </c>
      <c r="AX128" s="53"/>
      <c r="AY128" s="110">
        <v>0.0</v>
      </c>
      <c r="AZ128" s="78">
        <f t="shared" si="6"/>
        <v>40.39</v>
      </c>
      <c r="BG128" s="57"/>
      <c r="BH128" s="79">
        <f t="shared" si="7"/>
        <v>59.61</v>
      </c>
      <c r="BM128" s="80">
        <v>0.0</v>
      </c>
      <c r="BR128" s="89">
        <v>40.08</v>
      </c>
      <c r="BS128" s="75">
        <v>0.0</v>
      </c>
      <c r="BT128" s="75">
        <v>0.0</v>
      </c>
      <c r="BU128" s="72">
        <v>0.79</v>
      </c>
      <c r="BV128" s="72">
        <v>18.74</v>
      </c>
      <c r="BW128" s="83">
        <f t="shared" si="8"/>
        <v>59.61</v>
      </c>
      <c r="CI128" s="48"/>
      <c r="CK128" s="160"/>
      <c r="CL128" s="111"/>
      <c r="CM128" s="111"/>
      <c r="CN128" s="111"/>
      <c r="CO128" s="111"/>
      <c r="CQ128" s="160"/>
      <c r="CR128" s="111"/>
      <c r="CS128" s="111"/>
      <c r="CT128" s="111"/>
      <c r="CU128" s="111"/>
      <c r="CW128" s="111"/>
      <c r="CX128" s="111"/>
      <c r="CY128" s="111"/>
      <c r="CZ128" s="111"/>
      <c r="DA128" s="111"/>
      <c r="DC128" s="49"/>
    </row>
    <row r="129" ht="12.0" customHeight="1">
      <c r="H129" s="184" t="s">
        <v>155</v>
      </c>
      <c r="I129" s="185">
        <v>54.0</v>
      </c>
      <c r="J129" s="185">
        <v>10.0</v>
      </c>
      <c r="K129" s="200">
        <v>23.78</v>
      </c>
      <c r="L129" s="201">
        <v>3.0</v>
      </c>
      <c r="M129" s="200" t="s">
        <v>34</v>
      </c>
      <c r="N129" s="202" t="s">
        <v>34</v>
      </c>
      <c r="O129" s="200">
        <v>43.61</v>
      </c>
      <c r="P129" s="203">
        <v>5.0</v>
      </c>
      <c r="Q129" s="200">
        <v>0.63</v>
      </c>
      <c r="R129" s="204">
        <v>0.0</v>
      </c>
      <c r="S129" s="200">
        <v>2.02</v>
      </c>
      <c r="T129" s="205">
        <v>0.0</v>
      </c>
      <c r="U129" s="200" t="s">
        <v>34</v>
      </c>
      <c r="V129" s="206" t="s">
        <v>34</v>
      </c>
      <c r="W129" s="200" t="s">
        <v>34</v>
      </c>
      <c r="X129" s="207" t="s">
        <v>34</v>
      </c>
      <c r="Y129" s="200">
        <v>18.14</v>
      </c>
      <c r="Z129" s="208">
        <v>2.0</v>
      </c>
      <c r="AA129" s="200">
        <v>0.14</v>
      </c>
      <c r="AB129" s="209">
        <v>0.0</v>
      </c>
      <c r="AC129" s="200">
        <v>0.01</v>
      </c>
      <c r="AD129" s="210">
        <v>0.0</v>
      </c>
      <c r="AE129" s="200">
        <v>0.62</v>
      </c>
      <c r="AF129" s="211">
        <v>0.0</v>
      </c>
      <c r="AG129" s="200" t="s">
        <v>34</v>
      </c>
      <c r="AH129" s="208" t="s">
        <v>34</v>
      </c>
      <c r="AI129" s="200">
        <v>0.92</v>
      </c>
      <c r="AJ129" s="212">
        <v>0.0</v>
      </c>
      <c r="AK129" s="200" t="s">
        <v>34</v>
      </c>
      <c r="AL129" s="208" t="s">
        <v>34</v>
      </c>
      <c r="AM129" s="200">
        <v>10.13</v>
      </c>
      <c r="AN129" s="213">
        <v>0.0</v>
      </c>
      <c r="AX129" s="53"/>
      <c r="AY129" s="110">
        <v>0.0</v>
      </c>
      <c r="AZ129" s="78">
        <f t="shared" si="6"/>
        <v>65.79</v>
      </c>
      <c r="BG129" s="57"/>
      <c r="BH129" s="79">
        <f t="shared" si="7"/>
        <v>34.21</v>
      </c>
      <c r="BM129" s="80">
        <v>0.0</v>
      </c>
      <c r="BR129" s="72">
        <v>24.91</v>
      </c>
      <c r="BS129" s="75">
        <v>0.0</v>
      </c>
      <c r="BT129" s="75">
        <v>0.0</v>
      </c>
      <c r="BU129" s="72">
        <v>0.27</v>
      </c>
      <c r="BV129" s="72">
        <v>9.03</v>
      </c>
      <c r="BW129" s="83">
        <f t="shared" si="8"/>
        <v>34.21</v>
      </c>
      <c r="CI129" s="48"/>
      <c r="CK129" s="174" t="s">
        <v>13</v>
      </c>
      <c r="CL129" s="154">
        <v>49.0</v>
      </c>
      <c r="CM129" s="154">
        <v>11.0</v>
      </c>
      <c r="CN129" s="154">
        <v>60.0</v>
      </c>
      <c r="CO129" s="158">
        <v>0.13513513513513514</v>
      </c>
      <c r="CQ129" s="175" t="s">
        <v>27</v>
      </c>
      <c r="CR129" s="154">
        <v>183.0</v>
      </c>
      <c r="CS129" s="154">
        <v>30.0</v>
      </c>
      <c r="CT129" s="154">
        <v>213.0</v>
      </c>
      <c r="CU129" s="158">
        <v>0.4797297297297297</v>
      </c>
      <c r="CW129" s="175" t="s">
        <v>27</v>
      </c>
      <c r="CX129" s="154">
        <v>179.0</v>
      </c>
      <c r="CY129" s="154">
        <v>30.0</v>
      </c>
      <c r="CZ129" s="154">
        <v>209.0</v>
      </c>
      <c r="DA129" s="158">
        <v>0.47072072072072074</v>
      </c>
      <c r="DC129" s="49"/>
    </row>
    <row r="130" ht="12.0" customHeight="1">
      <c r="H130" s="184" t="s">
        <v>157</v>
      </c>
      <c r="I130" s="185">
        <v>55.0</v>
      </c>
      <c r="J130" s="185">
        <v>9.0</v>
      </c>
      <c r="K130" s="200">
        <v>28.1</v>
      </c>
      <c r="L130" s="201">
        <v>3.0</v>
      </c>
      <c r="M130" s="200" t="s">
        <v>34</v>
      </c>
      <c r="N130" s="202" t="s">
        <v>34</v>
      </c>
      <c r="O130" s="200">
        <v>36.86</v>
      </c>
      <c r="P130" s="203">
        <v>4.0</v>
      </c>
      <c r="Q130" s="200">
        <v>2.66</v>
      </c>
      <c r="R130" s="204">
        <v>0.0</v>
      </c>
      <c r="S130" s="200">
        <v>2.78</v>
      </c>
      <c r="T130" s="205">
        <v>0.0</v>
      </c>
      <c r="U130" s="200" t="s">
        <v>34</v>
      </c>
      <c r="V130" s="206" t="s">
        <v>34</v>
      </c>
      <c r="W130" s="200" t="s">
        <v>34</v>
      </c>
      <c r="X130" s="207" t="s">
        <v>34</v>
      </c>
      <c r="Y130" s="200">
        <v>21.58</v>
      </c>
      <c r="Z130" s="208">
        <v>2.0</v>
      </c>
      <c r="AA130" s="200" t="s">
        <v>34</v>
      </c>
      <c r="AB130" s="209" t="s">
        <v>34</v>
      </c>
      <c r="AC130" s="200" t="s">
        <v>34</v>
      </c>
      <c r="AD130" s="210" t="s">
        <v>34</v>
      </c>
      <c r="AE130" s="200">
        <v>0.05</v>
      </c>
      <c r="AF130" s="211">
        <v>0.0</v>
      </c>
      <c r="AG130" s="200" t="s">
        <v>34</v>
      </c>
      <c r="AH130" s="208" t="s">
        <v>34</v>
      </c>
      <c r="AI130" s="200" t="s">
        <v>34</v>
      </c>
      <c r="AJ130" s="212" t="s">
        <v>34</v>
      </c>
      <c r="AK130" s="200" t="s">
        <v>34</v>
      </c>
      <c r="AL130" s="208" t="s">
        <v>34</v>
      </c>
      <c r="AM130" s="200">
        <v>7.97</v>
      </c>
      <c r="AN130" s="213">
        <v>0.0</v>
      </c>
      <c r="AX130" s="53"/>
      <c r="AY130" s="110">
        <v>0.0</v>
      </c>
      <c r="AZ130" s="78">
        <f t="shared" si="6"/>
        <v>32.33</v>
      </c>
      <c r="BG130" s="57"/>
      <c r="BH130" s="79">
        <f t="shared" si="7"/>
        <v>62.17</v>
      </c>
      <c r="BM130" s="77">
        <v>5.5</v>
      </c>
      <c r="BR130" s="89">
        <v>45.68</v>
      </c>
      <c r="BS130" s="75">
        <v>0.0</v>
      </c>
      <c r="BT130" s="75">
        <v>0.0</v>
      </c>
      <c r="BU130" s="72">
        <v>0.61</v>
      </c>
      <c r="BV130" s="72">
        <v>15.88</v>
      </c>
      <c r="BW130" s="83">
        <f t="shared" si="8"/>
        <v>62.17</v>
      </c>
      <c r="CI130" s="48"/>
      <c r="CK130" s="111"/>
      <c r="CL130" s="111"/>
      <c r="CM130" s="111"/>
      <c r="CN130" s="111"/>
      <c r="CO130" s="111"/>
      <c r="CQ130" s="160"/>
      <c r="CR130" s="111"/>
      <c r="CS130" s="111"/>
      <c r="CT130" s="111"/>
      <c r="CU130" s="111"/>
      <c r="CW130" s="160"/>
      <c r="CX130" s="111"/>
      <c r="CY130" s="111"/>
      <c r="CZ130" s="111"/>
      <c r="DA130" s="111"/>
      <c r="DC130" s="49"/>
    </row>
    <row r="131" ht="12.0" customHeight="1">
      <c r="H131" s="184" t="s">
        <v>161</v>
      </c>
      <c r="I131" s="185">
        <v>56.0</v>
      </c>
      <c r="J131" s="185">
        <v>5.0</v>
      </c>
      <c r="K131" s="200" t="s">
        <v>34</v>
      </c>
      <c r="L131" s="201" t="s">
        <v>34</v>
      </c>
      <c r="M131" s="200">
        <v>84.48</v>
      </c>
      <c r="N131" s="202">
        <v>5.0</v>
      </c>
      <c r="O131" s="200" t="s">
        <v>34</v>
      </c>
      <c r="P131" s="203" t="s">
        <v>34</v>
      </c>
      <c r="Q131" s="200">
        <v>2.76</v>
      </c>
      <c r="R131" s="204">
        <v>0.0</v>
      </c>
      <c r="S131" s="200">
        <v>2.3</v>
      </c>
      <c r="T131" s="205">
        <v>0.0</v>
      </c>
      <c r="U131" s="200" t="s">
        <v>34</v>
      </c>
      <c r="V131" s="206" t="s">
        <v>34</v>
      </c>
      <c r="W131" s="200">
        <v>3.24</v>
      </c>
      <c r="X131" s="207">
        <v>0.0</v>
      </c>
      <c r="Y131" s="200" t="s">
        <v>34</v>
      </c>
      <c r="Z131" s="208" t="s">
        <v>34</v>
      </c>
      <c r="AA131" s="200" t="s">
        <v>34</v>
      </c>
      <c r="AB131" s="209" t="s">
        <v>34</v>
      </c>
      <c r="AC131" s="200" t="s">
        <v>34</v>
      </c>
      <c r="AD131" s="210" t="s">
        <v>34</v>
      </c>
      <c r="AE131" s="200" t="s">
        <v>34</v>
      </c>
      <c r="AF131" s="211" t="s">
        <v>34</v>
      </c>
      <c r="AG131" s="200" t="s">
        <v>34</v>
      </c>
      <c r="AH131" s="208" t="s">
        <v>34</v>
      </c>
      <c r="AI131" s="200" t="s">
        <v>34</v>
      </c>
      <c r="AJ131" s="212" t="s">
        <v>34</v>
      </c>
      <c r="AK131" s="200">
        <v>1.05</v>
      </c>
      <c r="AL131" s="208">
        <v>0.0</v>
      </c>
      <c r="AM131" s="200">
        <v>6.17</v>
      </c>
      <c r="AN131" s="213">
        <v>0.0</v>
      </c>
      <c r="AX131" s="53"/>
      <c r="AY131" s="90">
        <v>12.0</v>
      </c>
      <c r="AZ131" s="78">
        <f t="shared" si="6"/>
        <v>59.81</v>
      </c>
      <c r="BG131" s="57"/>
      <c r="BH131" s="79">
        <f t="shared" si="7"/>
        <v>28.19</v>
      </c>
      <c r="BM131" s="80">
        <v>0.0</v>
      </c>
      <c r="BR131" s="72">
        <v>26.94</v>
      </c>
      <c r="BS131" s="75">
        <v>0.0</v>
      </c>
      <c r="BT131" s="75">
        <v>0.0</v>
      </c>
      <c r="BU131" s="75">
        <v>0.0</v>
      </c>
      <c r="BV131" s="72">
        <v>1.25</v>
      </c>
      <c r="BW131" s="83">
        <f t="shared" si="8"/>
        <v>28.19</v>
      </c>
      <c r="CI131" s="48"/>
      <c r="CK131" s="175" t="s">
        <v>27</v>
      </c>
      <c r="CL131" s="154">
        <v>187.0</v>
      </c>
      <c r="CM131" s="154">
        <v>30.0</v>
      </c>
      <c r="CN131" s="154">
        <v>217.0</v>
      </c>
      <c r="CO131" s="158">
        <v>0.488738738738739</v>
      </c>
      <c r="CQ131" s="183" t="s">
        <v>194</v>
      </c>
      <c r="CR131" s="154">
        <v>77.0</v>
      </c>
      <c r="CS131" s="154">
        <v>13.0</v>
      </c>
      <c r="CT131" s="154">
        <v>90.0</v>
      </c>
      <c r="CU131" s="158">
        <v>0.20270270270270271</v>
      </c>
      <c r="CW131" s="183" t="s">
        <v>194</v>
      </c>
      <c r="CX131" s="154">
        <v>75.0</v>
      </c>
      <c r="CY131" s="154">
        <v>13.0</v>
      </c>
      <c r="CZ131" s="154">
        <v>88.0</v>
      </c>
      <c r="DA131" s="158">
        <v>0.1981981981981982</v>
      </c>
      <c r="DC131" s="49"/>
    </row>
    <row r="132" ht="12.0" customHeight="1">
      <c r="H132" s="184" t="s">
        <v>163</v>
      </c>
      <c r="I132" s="185">
        <v>57.0</v>
      </c>
      <c r="J132" s="185">
        <v>6.0</v>
      </c>
      <c r="K132" s="200">
        <v>5.02</v>
      </c>
      <c r="L132" s="201">
        <v>0.0</v>
      </c>
      <c r="M132" s="200">
        <v>66.3</v>
      </c>
      <c r="N132" s="202">
        <v>6.0</v>
      </c>
      <c r="O132" s="200" t="s">
        <v>34</v>
      </c>
      <c r="P132" s="203" t="s">
        <v>34</v>
      </c>
      <c r="Q132" s="200">
        <v>3.76</v>
      </c>
      <c r="R132" s="204">
        <v>0.0</v>
      </c>
      <c r="S132" s="200">
        <v>1.24</v>
      </c>
      <c r="T132" s="205">
        <v>0.0</v>
      </c>
      <c r="U132" s="200" t="s">
        <v>34</v>
      </c>
      <c r="V132" s="206" t="s">
        <v>34</v>
      </c>
      <c r="W132" s="200" t="s">
        <v>34</v>
      </c>
      <c r="X132" s="207" t="s">
        <v>34</v>
      </c>
      <c r="Y132" s="200" t="s">
        <v>34</v>
      </c>
      <c r="Z132" s="208" t="s">
        <v>34</v>
      </c>
      <c r="AA132" s="200" t="s">
        <v>34</v>
      </c>
      <c r="AB132" s="209" t="s">
        <v>34</v>
      </c>
      <c r="AC132" s="200" t="s">
        <v>34</v>
      </c>
      <c r="AD132" s="210" t="s">
        <v>34</v>
      </c>
      <c r="AE132" s="200" t="s">
        <v>34</v>
      </c>
      <c r="AF132" s="211" t="s">
        <v>34</v>
      </c>
      <c r="AG132" s="200" t="s">
        <v>34</v>
      </c>
      <c r="AH132" s="208" t="s">
        <v>34</v>
      </c>
      <c r="AI132" s="200" t="s">
        <v>34</v>
      </c>
      <c r="AJ132" s="212" t="s">
        <v>34</v>
      </c>
      <c r="AK132" s="200">
        <v>2.61</v>
      </c>
      <c r="AL132" s="208">
        <v>0.0</v>
      </c>
      <c r="AM132" s="200">
        <v>21.07</v>
      </c>
      <c r="AN132" s="213">
        <v>0.0</v>
      </c>
      <c r="AX132" s="53"/>
      <c r="AY132" s="76">
        <v>30.52</v>
      </c>
      <c r="AZ132" s="78">
        <f t="shared" si="6"/>
        <v>43.52</v>
      </c>
      <c r="BG132" s="57"/>
      <c r="BH132" s="79">
        <f t="shared" si="7"/>
        <v>25.96</v>
      </c>
      <c r="BM132" s="80">
        <v>0.0</v>
      </c>
      <c r="BR132" s="72">
        <v>12.18</v>
      </c>
      <c r="BS132" s="75">
        <v>0.0</v>
      </c>
      <c r="BT132" s="75">
        <v>0.0</v>
      </c>
      <c r="BU132" s="72">
        <v>3.42</v>
      </c>
      <c r="BV132" s="72">
        <v>10.36</v>
      </c>
      <c r="BW132" s="83">
        <f t="shared" si="8"/>
        <v>25.96</v>
      </c>
      <c r="CI132" s="48"/>
      <c r="CK132" s="160"/>
      <c r="CL132" s="111"/>
      <c r="CM132" s="111"/>
      <c r="CN132" s="111"/>
      <c r="CO132" s="111"/>
      <c r="CQ132" s="111"/>
      <c r="CR132" s="111"/>
      <c r="CS132" s="111"/>
      <c r="CT132" s="111"/>
      <c r="CU132" s="111"/>
      <c r="CW132" s="111"/>
      <c r="CX132" s="111"/>
      <c r="CY132" s="111"/>
      <c r="CZ132" s="111"/>
      <c r="DA132" s="111"/>
      <c r="DC132" s="49"/>
    </row>
    <row r="133" ht="12.0" customHeight="1">
      <c r="H133" s="184" t="s">
        <v>165</v>
      </c>
      <c r="I133" s="185">
        <v>58.0</v>
      </c>
      <c r="J133" s="185">
        <v>5.0</v>
      </c>
      <c r="K133" s="200">
        <v>3.06</v>
      </c>
      <c r="L133" s="201">
        <v>0.0</v>
      </c>
      <c r="M133" s="200">
        <v>87.47</v>
      </c>
      <c r="N133" s="202">
        <v>5.0</v>
      </c>
      <c r="O133" s="200" t="s">
        <v>34</v>
      </c>
      <c r="P133" s="203" t="s">
        <v>34</v>
      </c>
      <c r="Q133" s="200">
        <v>0.73</v>
      </c>
      <c r="R133" s="204">
        <v>0.0</v>
      </c>
      <c r="S133" s="200" t="s">
        <v>34</v>
      </c>
      <c r="T133" s="205" t="s">
        <v>34</v>
      </c>
      <c r="U133" s="200" t="s">
        <v>34</v>
      </c>
      <c r="V133" s="206" t="s">
        <v>34</v>
      </c>
      <c r="W133" s="200" t="s">
        <v>34</v>
      </c>
      <c r="X133" s="207" t="s">
        <v>34</v>
      </c>
      <c r="Y133" s="200" t="s">
        <v>34</v>
      </c>
      <c r="Z133" s="208" t="s">
        <v>34</v>
      </c>
      <c r="AA133" s="200" t="s">
        <v>34</v>
      </c>
      <c r="AB133" s="209" t="s">
        <v>34</v>
      </c>
      <c r="AC133" s="200" t="s">
        <v>34</v>
      </c>
      <c r="AD133" s="210" t="s">
        <v>34</v>
      </c>
      <c r="AE133" s="200" t="s">
        <v>34</v>
      </c>
      <c r="AF133" s="211" t="s">
        <v>34</v>
      </c>
      <c r="AG133" s="200" t="s">
        <v>34</v>
      </c>
      <c r="AH133" s="208" t="s">
        <v>34</v>
      </c>
      <c r="AI133" s="200" t="s">
        <v>34</v>
      </c>
      <c r="AJ133" s="212" t="s">
        <v>34</v>
      </c>
      <c r="AK133" s="200">
        <v>1.17</v>
      </c>
      <c r="AL133" s="208">
        <v>0.0</v>
      </c>
      <c r="AM133" s="200">
        <v>7.57</v>
      </c>
      <c r="AN133" s="213">
        <v>0.0</v>
      </c>
      <c r="AX133" s="111"/>
      <c r="AY133" s="112">
        <v>0.0</v>
      </c>
      <c r="AZ133" s="114">
        <f t="shared" si="6"/>
        <v>51.52</v>
      </c>
      <c r="BA133" s="115"/>
      <c r="BB133" s="115"/>
      <c r="BC133" s="115"/>
      <c r="BD133" s="115"/>
      <c r="BE133" s="115"/>
      <c r="BF133" s="115"/>
      <c r="BG133" s="116"/>
      <c r="BH133" s="117">
        <f t="shared" si="7"/>
        <v>39.43</v>
      </c>
      <c r="BI133" s="115"/>
      <c r="BJ133" s="115"/>
      <c r="BK133" s="115"/>
      <c r="BL133" s="115"/>
      <c r="BM133" s="113">
        <v>9.05</v>
      </c>
      <c r="BR133" s="72">
        <v>30.66</v>
      </c>
      <c r="BS133" s="75">
        <v>0.0</v>
      </c>
      <c r="BT133" s="75">
        <v>0.0</v>
      </c>
      <c r="BU133" s="72">
        <v>2.72</v>
      </c>
      <c r="BV133" s="72">
        <v>6.05</v>
      </c>
      <c r="BW133" s="83">
        <f t="shared" si="8"/>
        <v>39.43</v>
      </c>
      <c r="CI133" s="48"/>
      <c r="CK133" s="214" t="s">
        <v>18</v>
      </c>
      <c r="CL133" s="126">
        <v>4.0</v>
      </c>
      <c r="CM133" s="151">
        <v>0.0</v>
      </c>
      <c r="CN133" s="153">
        <v>4.0</v>
      </c>
      <c r="CO133" s="215">
        <v>0.009009009009009009</v>
      </c>
      <c r="CQ133" s="214" t="s">
        <v>18</v>
      </c>
      <c r="CR133" s="126">
        <v>4.0</v>
      </c>
      <c r="CS133" s="151">
        <v>0.0</v>
      </c>
      <c r="CT133" s="153">
        <v>4.0</v>
      </c>
      <c r="CU133" s="215">
        <v>0.009009009009009009</v>
      </c>
      <c r="DC133" s="49"/>
    </row>
    <row r="134" ht="12.0" customHeight="1">
      <c r="H134" s="184" t="s">
        <v>167</v>
      </c>
      <c r="I134" s="185">
        <v>59.0</v>
      </c>
      <c r="J134" s="185">
        <v>5.0</v>
      </c>
      <c r="K134" s="200" t="s">
        <v>34</v>
      </c>
      <c r="L134" s="201" t="s">
        <v>34</v>
      </c>
      <c r="M134" s="200">
        <v>40.08</v>
      </c>
      <c r="N134" s="202">
        <v>3.0</v>
      </c>
      <c r="O134" s="200" t="s">
        <v>34</v>
      </c>
      <c r="P134" s="203" t="s">
        <v>34</v>
      </c>
      <c r="Q134" s="200">
        <v>12.17</v>
      </c>
      <c r="R134" s="204">
        <v>1.0</v>
      </c>
      <c r="S134" s="200">
        <v>18.78</v>
      </c>
      <c r="T134" s="205">
        <v>1.0</v>
      </c>
      <c r="U134" s="200" t="s">
        <v>34</v>
      </c>
      <c r="V134" s="206" t="s">
        <v>34</v>
      </c>
      <c r="W134" s="200" t="s">
        <v>34</v>
      </c>
      <c r="X134" s="207" t="s">
        <v>34</v>
      </c>
      <c r="Y134" s="200" t="s">
        <v>34</v>
      </c>
      <c r="Z134" s="208" t="s">
        <v>34</v>
      </c>
      <c r="AA134" s="200">
        <v>7.76</v>
      </c>
      <c r="AB134" s="209">
        <v>0.0</v>
      </c>
      <c r="AC134" s="200" t="s">
        <v>34</v>
      </c>
      <c r="AD134" s="210" t="s">
        <v>34</v>
      </c>
      <c r="AE134" s="200">
        <v>1.68</v>
      </c>
      <c r="AF134" s="211">
        <v>0.0</v>
      </c>
      <c r="AG134" s="200" t="s">
        <v>34</v>
      </c>
      <c r="AH134" s="208" t="s">
        <v>34</v>
      </c>
      <c r="AI134" s="200" t="s">
        <v>34</v>
      </c>
      <c r="AJ134" s="212" t="s">
        <v>34</v>
      </c>
      <c r="AK134" s="200">
        <v>0.79</v>
      </c>
      <c r="AL134" s="208">
        <v>0.0</v>
      </c>
      <c r="AM134" s="200">
        <v>18.74</v>
      </c>
      <c r="AN134" s="213">
        <v>0.0</v>
      </c>
      <c r="CI134" s="48"/>
      <c r="CK134" s="216" t="s">
        <v>19</v>
      </c>
      <c r="CL134" s="56">
        <v>11.0</v>
      </c>
      <c r="CM134" s="65">
        <v>2.0</v>
      </c>
      <c r="CN134" s="153">
        <v>13.0</v>
      </c>
      <c r="CO134" s="215">
        <v>0.02927927927927928</v>
      </c>
      <c r="DC134" s="49"/>
    </row>
    <row r="135" ht="12.0" customHeight="1">
      <c r="H135" s="184" t="s">
        <v>169</v>
      </c>
      <c r="I135" s="185">
        <v>60.0</v>
      </c>
      <c r="J135" s="185">
        <v>5.0</v>
      </c>
      <c r="K135" s="200" t="s">
        <v>34</v>
      </c>
      <c r="L135" s="201" t="s">
        <v>34</v>
      </c>
      <c r="M135" s="200">
        <v>24.91</v>
      </c>
      <c r="N135" s="202">
        <v>1.0</v>
      </c>
      <c r="O135" s="200" t="s">
        <v>34</v>
      </c>
      <c r="P135" s="203" t="s">
        <v>34</v>
      </c>
      <c r="Q135" s="200">
        <v>21.33</v>
      </c>
      <c r="R135" s="204">
        <v>1.0</v>
      </c>
      <c r="S135" s="200">
        <v>42.61</v>
      </c>
      <c r="T135" s="205">
        <v>3.0</v>
      </c>
      <c r="U135" s="200" t="s">
        <v>34</v>
      </c>
      <c r="V135" s="206" t="s">
        <v>34</v>
      </c>
      <c r="W135" s="200" t="s">
        <v>34</v>
      </c>
      <c r="X135" s="207" t="s">
        <v>34</v>
      </c>
      <c r="Y135" s="200" t="s">
        <v>34</v>
      </c>
      <c r="Z135" s="208" t="s">
        <v>34</v>
      </c>
      <c r="AA135" s="200" t="s">
        <v>34</v>
      </c>
      <c r="AB135" s="209" t="s">
        <v>34</v>
      </c>
      <c r="AC135" s="200" t="s">
        <v>34</v>
      </c>
      <c r="AD135" s="210" t="s">
        <v>34</v>
      </c>
      <c r="AE135" s="200">
        <v>1.85</v>
      </c>
      <c r="AF135" s="211">
        <v>0.0</v>
      </c>
      <c r="AG135" s="200" t="s">
        <v>34</v>
      </c>
      <c r="AH135" s="208" t="s">
        <v>34</v>
      </c>
      <c r="AI135" s="200" t="s">
        <v>34</v>
      </c>
      <c r="AJ135" s="212" t="s">
        <v>34</v>
      </c>
      <c r="AK135" s="200">
        <v>0.27</v>
      </c>
      <c r="AL135" s="208">
        <v>0.0</v>
      </c>
      <c r="AM135" s="200">
        <v>9.03</v>
      </c>
      <c r="AN135" s="213">
        <v>0.0</v>
      </c>
      <c r="CI135" s="48"/>
      <c r="CK135" s="217" t="s">
        <v>23</v>
      </c>
      <c r="CL135" s="126">
        <v>1.0</v>
      </c>
      <c r="CM135" s="151">
        <v>0.0</v>
      </c>
      <c r="CN135" s="153">
        <v>1.0</v>
      </c>
      <c r="CO135" s="215">
        <v>0.0022522522522522522</v>
      </c>
      <c r="DC135" s="49"/>
    </row>
    <row r="136" ht="12.0" customHeight="1">
      <c r="H136" s="184" t="s">
        <v>171</v>
      </c>
      <c r="I136" s="185">
        <v>61.0</v>
      </c>
      <c r="J136" s="185">
        <v>6.0</v>
      </c>
      <c r="K136" s="200" t="s">
        <v>34</v>
      </c>
      <c r="L136" s="201" t="s">
        <v>34</v>
      </c>
      <c r="M136" s="200">
        <v>45.68</v>
      </c>
      <c r="N136" s="202">
        <v>4.0</v>
      </c>
      <c r="O136" s="200" t="s">
        <v>34</v>
      </c>
      <c r="P136" s="203" t="s">
        <v>34</v>
      </c>
      <c r="Q136" s="200">
        <v>31.59</v>
      </c>
      <c r="R136" s="204">
        <v>2.0</v>
      </c>
      <c r="S136" s="200" t="s">
        <v>34</v>
      </c>
      <c r="T136" s="205" t="s">
        <v>34</v>
      </c>
      <c r="U136" s="200" t="s">
        <v>34</v>
      </c>
      <c r="V136" s="206" t="s">
        <v>34</v>
      </c>
      <c r="W136" s="200">
        <v>5.5</v>
      </c>
      <c r="X136" s="207">
        <v>0.0</v>
      </c>
      <c r="Y136" s="200" t="s">
        <v>34</v>
      </c>
      <c r="Z136" s="208" t="s">
        <v>34</v>
      </c>
      <c r="AA136" s="200" t="s">
        <v>34</v>
      </c>
      <c r="AB136" s="209" t="s">
        <v>34</v>
      </c>
      <c r="AC136" s="200" t="s">
        <v>34</v>
      </c>
      <c r="AD136" s="210" t="s">
        <v>34</v>
      </c>
      <c r="AE136" s="200">
        <v>0.74</v>
      </c>
      <c r="AF136" s="211">
        <v>0.0</v>
      </c>
      <c r="AG136" s="200" t="s">
        <v>34</v>
      </c>
      <c r="AH136" s="208" t="s">
        <v>34</v>
      </c>
      <c r="AI136" s="200" t="s">
        <v>34</v>
      </c>
      <c r="AJ136" s="212" t="s">
        <v>34</v>
      </c>
      <c r="AK136" s="200">
        <v>0.61</v>
      </c>
      <c r="AL136" s="208">
        <v>0.0</v>
      </c>
      <c r="AM136" s="200">
        <v>15.88</v>
      </c>
      <c r="AN136" s="213">
        <v>0.0</v>
      </c>
      <c r="AV136" s="18" t="s">
        <v>7</v>
      </c>
      <c r="AW136" s="293"/>
      <c r="AX136" s="22"/>
      <c r="AY136" s="145"/>
      <c r="AZ136" s="21"/>
      <c r="BA136" s="22"/>
      <c r="BB136" s="22"/>
      <c r="BC136" s="22"/>
      <c r="BD136" s="22"/>
      <c r="BE136" s="22"/>
      <c r="BF136" s="22"/>
      <c r="BG136" s="23"/>
      <c r="BH136" s="144"/>
      <c r="BI136" s="22"/>
      <c r="BJ136" s="22"/>
      <c r="BK136" s="22"/>
      <c r="BL136" s="23"/>
      <c r="BR136" s="5"/>
      <c r="BS136" s="11"/>
      <c r="CI136" s="48"/>
      <c r="CK136" s="218" t="s">
        <v>25</v>
      </c>
      <c r="CL136" s="56">
        <v>0.0</v>
      </c>
      <c r="CM136" s="65">
        <v>0.0</v>
      </c>
      <c r="CN136" s="153">
        <v>0.0</v>
      </c>
      <c r="CO136" s="215">
        <v>0.0</v>
      </c>
      <c r="DC136" s="49"/>
    </row>
    <row r="137" ht="12.0" customHeight="1">
      <c r="H137" s="184" t="s">
        <v>173</v>
      </c>
      <c r="I137" s="185">
        <v>62.0</v>
      </c>
      <c r="J137" s="185">
        <v>7.0</v>
      </c>
      <c r="K137" s="200">
        <v>12.0</v>
      </c>
      <c r="L137" s="201">
        <v>1.0</v>
      </c>
      <c r="M137" s="200">
        <v>26.94</v>
      </c>
      <c r="N137" s="202">
        <v>2.0</v>
      </c>
      <c r="O137" s="200">
        <v>22.75</v>
      </c>
      <c r="P137" s="203">
        <v>1.0</v>
      </c>
      <c r="Q137" s="200">
        <v>34.22</v>
      </c>
      <c r="R137" s="204">
        <v>3.0</v>
      </c>
      <c r="S137" s="200" t="s">
        <v>34</v>
      </c>
      <c r="T137" s="205" t="s">
        <v>34</v>
      </c>
      <c r="U137" s="200" t="s">
        <v>34</v>
      </c>
      <c r="V137" s="206" t="s">
        <v>34</v>
      </c>
      <c r="W137" s="200" t="s">
        <v>34</v>
      </c>
      <c r="X137" s="207" t="s">
        <v>34</v>
      </c>
      <c r="Y137" s="200" t="s">
        <v>34</v>
      </c>
      <c r="Z137" s="208" t="s">
        <v>34</v>
      </c>
      <c r="AA137" s="200">
        <v>2.84</v>
      </c>
      <c r="AB137" s="209">
        <v>0.0</v>
      </c>
      <c r="AC137" s="200" t="s">
        <v>34</v>
      </c>
      <c r="AD137" s="210" t="s">
        <v>34</v>
      </c>
      <c r="AE137" s="200" t="s">
        <v>34</v>
      </c>
      <c r="AF137" s="211" t="s">
        <v>34</v>
      </c>
      <c r="AG137" s="200" t="s">
        <v>34</v>
      </c>
      <c r="AH137" s="208" t="s">
        <v>34</v>
      </c>
      <c r="AI137" s="200" t="s">
        <v>34</v>
      </c>
      <c r="AJ137" s="212" t="s">
        <v>34</v>
      </c>
      <c r="AK137" s="200" t="s">
        <v>34</v>
      </c>
      <c r="AL137" s="208" t="s">
        <v>34</v>
      </c>
      <c r="AM137" s="200">
        <v>1.25</v>
      </c>
      <c r="AN137" s="213">
        <v>0.0</v>
      </c>
      <c r="AV137" s="53"/>
      <c r="AW137" s="66" t="s">
        <v>29</v>
      </c>
      <c r="AZ137" s="56" t="s">
        <v>27</v>
      </c>
      <c r="BG137" s="57"/>
      <c r="BH137" s="52" t="s">
        <v>28</v>
      </c>
      <c r="BL137" s="57"/>
      <c r="BR137" s="51" t="s">
        <v>12</v>
      </c>
      <c r="BS137" s="52" t="s">
        <v>18</v>
      </c>
      <c r="CI137" s="48"/>
      <c r="CK137" s="219" t="s">
        <v>26</v>
      </c>
      <c r="CL137" s="126">
        <v>10.0</v>
      </c>
      <c r="CM137" s="151">
        <v>0.0</v>
      </c>
      <c r="CN137" s="153">
        <v>10.0</v>
      </c>
      <c r="CO137" s="215">
        <v>0.02252252252252252</v>
      </c>
      <c r="DC137" s="49"/>
    </row>
    <row r="138" ht="12.0" customHeight="1">
      <c r="H138" s="184" t="s">
        <v>175</v>
      </c>
      <c r="I138" s="185">
        <v>63.0</v>
      </c>
      <c r="J138" s="185">
        <v>5.0</v>
      </c>
      <c r="K138" s="200">
        <v>30.52</v>
      </c>
      <c r="L138" s="201">
        <v>2.0</v>
      </c>
      <c r="M138" s="200">
        <v>12.18</v>
      </c>
      <c r="N138" s="202">
        <v>0.0</v>
      </c>
      <c r="O138" s="200">
        <v>15.77</v>
      </c>
      <c r="P138" s="203">
        <v>1.0</v>
      </c>
      <c r="Q138" s="200">
        <v>13.33</v>
      </c>
      <c r="R138" s="204">
        <v>1.0</v>
      </c>
      <c r="S138" s="200">
        <v>12.45</v>
      </c>
      <c r="T138" s="205">
        <v>1.0</v>
      </c>
      <c r="U138" s="200" t="s">
        <v>34</v>
      </c>
      <c r="V138" s="206" t="s">
        <v>34</v>
      </c>
      <c r="W138" s="200" t="s">
        <v>34</v>
      </c>
      <c r="X138" s="207" t="s">
        <v>34</v>
      </c>
      <c r="Y138" s="200" t="s">
        <v>34</v>
      </c>
      <c r="Z138" s="208" t="s">
        <v>34</v>
      </c>
      <c r="AA138" s="200">
        <v>0.64</v>
      </c>
      <c r="AB138" s="209">
        <v>0.0</v>
      </c>
      <c r="AC138" s="200" t="s">
        <v>34</v>
      </c>
      <c r="AD138" s="210" t="s">
        <v>34</v>
      </c>
      <c r="AE138" s="200">
        <v>1.33</v>
      </c>
      <c r="AF138" s="211">
        <v>0.0</v>
      </c>
      <c r="AG138" s="200" t="s">
        <v>34</v>
      </c>
      <c r="AH138" s="208" t="s">
        <v>34</v>
      </c>
      <c r="AI138" s="200" t="s">
        <v>34</v>
      </c>
      <c r="AJ138" s="212" t="s">
        <v>34</v>
      </c>
      <c r="AK138" s="200">
        <v>3.42</v>
      </c>
      <c r="AL138" s="208">
        <v>0.0</v>
      </c>
      <c r="AM138" s="200">
        <v>10.36</v>
      </c>
      <c r="AN138" s="213">
        <v>0.0</v>
      </c>
      <c r="AV138" s="53"/>
      <c r="AW138" s="294">
        <f t="shared" ref="AW138:AW201" si="11">BT138</f>
        <v>43.6</v>
      </c>
      <c r="AZ138" s="78">
        <f t="shared" ref="AZ138:AZ201" si="12">CA3</f>
        <v>33.43</v>
      </c>
      <c r="BG138" s="57"/>
      <c r="BH138" s="79">
        <f t="shared" ref="BH138:BH201" si="13">BW70</f>
        <v>22.97</v>
      </c>
      <c r="BL138" s="57"/>
      <c r="BR138" s="74">
        <v>41.99</v>
      </c>
      <c r="BS138" s="72">
        <v>1.61</v>
      </c>
      <c r="BT138" s="83">
        <f t="shared" ref="BT138:BT201" si="14">SUM(BR138:BS138)</f>
        <v>43.6</v>
      </c>
      <c r="CI138" s="48"/>
      <c r="DC138" s="49"/>
    </row>
    <row r="139" ht="12.0" customHeight="1">
      <c r="H139" s="184" t="s">
        <v>177</v>
      </c>
      <c r="I139" s="185">
        <v>64.0</v>
      </c>
      <c r="J139" s="185">
        <v>6.0</v>
      </c>
      <c r="K139" s="295" t="s">
        <v>34</v>
      </c>
      <c r="L139" s="296" t="s">
        <v>34</v>
      </c>
      <c r="M139" s="295">
        <v>30.66</v>
      </c>
      <c r="N139" s="297">
        <v>2.0</v>
      </c>
      <c r="O139" s="295">
        <v>4.19</v>
      </c>
      <c r="P139" s="298">
        <v>0.0</v>
      </c>
      <c r="Q139" s="295">
        <v>47.33</v>
      </c>
      <c r="R139" s="299">
        <v>4.0</v>
      </c>
      <c r="S139" s="295" t="s">
        <v>34</v>
      </c>
      <c r="T139" s="300" t="s">
        <v>34</v>
      </c>
      <c r="U139" s="295" t="s">
        <v>34</v>
      </c>
      <c r="V139" s="301" t="s">
        <v>34</v>
      </c>
      <c r="W139" s="295">
        <v>9.05</v>
      </c>
      <c r="X139" s="302">
        <v>0.0</v>
      </c>
      <c r="Y139" s="295" t="s">
        <v>34</v>
      </c>
      <c r="Z139" s="303" t="s">
        <v>34</v>
      </c>
      <c r="AA139" s="295" t="s">
        <v>34</v>
      </c>
      <c r="AB139" s="304" t="s">
        <v>34</v>
      </c>
      <c r="AC139" s="295" t="s">
        <v>34</v>
      </c>
      <c r="AD139" s="305" t="s">
        <v>34</v>
      </c>
      <c r="AE139" s="295" t="s">
        <v>34</v>
      </c>
      <c r="AF139" s="306" t="s">
        <v>34</v>
      </c>
      <c r="AG139" s="295" t="s">
        <v>34</v>
      </c>
      <c r="AH139" s="303" t="s">
        <v>34</v>
      </c>
      <c r="AI139" s="295" t="s">
        <v>34</v>
      </c>
      <c r="AJ139" s="307" t="s">
        <v>34</v>
      </c>
      <c r="AK139" s="295">
        <v>2.72</v>
      </c>
      <c r="AL139" s="303">
        <v>0.0</v>
      </c>
      <c r="AM139" s="295">
        <v>6.05</v>
      </c>
      <c r="AN139" s="308">
        <v>0.0</v>
      </c>
      <c r="AV139" s="53"/>
      <c r="AW139" s="294">
        <f t="shared" si="11"/>
        <v>57.78</v>
      </c>
      <c r="AZ139" s="78">
        <f t="shared" si="12"/>
        <v>31.6</v>
      </c>
      <c r="BG139" s="57"/>
      <c r="BH139" s="79">
        <f t="shared" si="13"/>
        <v>10.62</v>
      </c>
      <c r="BL139" s="57"/>
      <c r="BR139" s="74">
        <v>56.14</v>
      </c>
      <c r="BS139" s="72">
        <v>1.64</v>
      </c>
      <c r="BT139" s="83">
        <f t="shared" si="14"/>
        <v>57.78</v>
      </c>
      <c r="CI139" s="309"/>
      <c r="CJ139" s="310"/>
      <c r="CK139" s="310"/>
      <c r="CL139" s="310"/>
      <c r="CM139" s="310"/>
      <c r="CN139" s="310"/>
      <c r="CO139" s="310"/>
      <c r="CP139" s="310"/>
      <c r="CQ139" s="310"/>
      <c r="CR139" s="310"/>
      <c r="CS139" s="310"/>
      <c r="CT139" s="310"/>
      <c r="CU139" s="310"/>
      <c r="CV139" s="310"/>
      <c r="CW139" s="310"/>
      <c r="CX139" s="310"/>
      <c r="CY139" s="310"/>
      <c r="CZ139" s="310"/>
      <c r="DA139" s="310"/>
      <c r="DB139" s="310"/>
      <c r="DC139" s="311"/>
    </row>
    <row r="140" ht="12.0" customHeight="1">
      <c r="AV140" s="53"/>
      <c r="AW140" s="294">
        <f t="shared" si="11"/>
        <v>59.63</v>
      </c>
      <c r="AZ140" s="78">
        <f t="shared" si="12"/>
        <v>30.97</v>
      </c>
      <c r="BG140" s="57"/>
      <c r="BH140" s="79">
        <f t="shared" si="13"/>
        <v>9.4</v>
      </c>
      <c r="BL140" s="57"/>
      <c r="BR140" s="74">
        <v>54.98</v>
      </c>
      <c r="BS140" s="72">
        <v>4.65</v>
      </c>
      <c r="BT140" s="83">
        <f t="shared" si="14"/>
        <v>59.63</v>
      </c>
    </row>
    <row r="141" ht="12.0" customHeight="1">
      <c r="F141" s="312"/>
      <c r="AV141" s="53"/>
      <c r="AW141" s="294">
        <f t="shared" si="11"/>
        <v>59.61</v>
      </c>
      <c r="AZ141" s="78">
        <f t="shared" si="12"/>
        <v>21.58</v>
      </c>
      <c r="BG141" s="57"/>
      <c r="BH141" s="79">
        <f t="shared" si="13"/>
        <v>18.81</v>
      </c>
      <c r="BL141" s="57"/>
      <c r="BR141" s="74">
        <v>56.86</v>
      </c>
      <c r="BS141" s="72">
        <v>2.75</v>
      </c>
      <c r="BT141" s="83">
        <f t="shared" si="14"/>
        <v>59.61</v>
      </c>
    </row>
    <row r="142" ht="12.0" customHeight="1">
      <c r="AV142" s="53"/>
      <c r="AW142" s="294">
        <f t="shared" si="11"/>
        <v>44.54</v>
      </c>
      <c r="AZ142" s="78">
        <f t="shared" si="12"/>
        <v>27.89</v>
      </c>
      <c r="BG142" s="57"/>
      <c r="BH142" s="79">
        <f t="shared" si="13"/>
        <v>27.57</v>
      </c>
      <c r="BL142" s="57"/>
      <c r="BR142" s="72">
        <v>22.9</v>
      </c>
      <c r="BS142" s="72">
        <v>21.64</v>
      </c>
      <c r="BT142" s="83">
        <f t="shared" si="14"/>
        <v>44.54</v>
      </c>
    </row>
    <row r="143" ht="12.0" customHeight="1">
      <c r="AV143" s="53"/>
      <c r="AW143" s="294">
        <f t="shared" si="11"/>
        <v>30.69</v>
      </c>
      <c r="AZ143" s="78">
        <f t="shared" si="12"/>
        <v>42.01</v>
      </c>
      <c r="BG143" s="57"/>
      <c r="BH143" s="79">
        <f t="shared" si="13"/>
        <v>27.3</v>
      </c>
      <c r="BL143" s="57"/>
      <c r="BR143" s="74">
        <v>27.32</v>
      </c>
      <c r="BS143" s="72">
        <v>3.37</v>
      </c>
      <c r="BT143" s="83">
        <f t="shared" si="14"/>
        <v>30.69</v>
      </c>
    </row>
    <row r="144" ht="12.0" customHeight="1">
      <c r="N144" s="231" t="s">
        <v>221</v>
      </c>
      <c r="O144" s="148"/>
      <c r="P144" s="148"/>
      <c r="Q144" s="148"/>
      <c r="R144" s="148"/>
      <c r="S144" s="149"/>
      <c r="U144" s="231" t="s">
        <v>222</v>
      </c>
      <c r="V144" s="148"/>
      <c r="W144" s="148"/>
      <c r="X144" s="148"/>
      <c r="Y144" s="148"/>
      <c r="Z144" s="149"/>
      <c r="AB144" s="232" t="s">
        <v>223</v>
      </c>
      <c r="AC144" s="148"/>
      <c r="AD144" s="148"/>
      <c r="AE144" s="148"/>
      <c r="AF144" s="148"/>
      <c r="AG144" s="149"/>
      <c r="AV144" s="53"/>
      <c r="AW144" s="294">
        <f t="shared" si="11"/>
        <v>59.9</v>
      </c>
      <c r="AZ144" s="78">
        <f t="shared" si="12"/>
        <v>28.74</v>
      </c>
      <c r="BG144" s="57"/>
      <c r="BH144" s="79">
        <f t="shared" si="13"/>
        <v>11.36</v>
      </c>
      <c r="BL144" s="57"/>
      <c r="BR144" s="74">
        <v>56.06</v>
      </c>
      <c r="BS144" s="72">
        <v>3.84</v>
      </c>
      <c r="BT144" s="83">
        <f t="shared" si="14"/>
        <v>59.9</v>
      </c>
    </row>
    <row r="145" ht="12.0" customHeight="1">
      <c r="G145" s="313" t="s">
        <v>224</v>
      </c>
      <c r="H145" s="314"/>
      <c r="I145" s="315" t="s">
        <v>199</v>
      </c>
      <c r="J145" s="316"/>
      <c r="K145" s="315" t="s">
        <v>193</v>
      </c>
      <c r="L145" s="316"/>
      <c r="N145" s="233" t="s">
        <v>225</v>
      </c>
      <c r="O145" s="234"/>
      <c r="P145" s="235" t="s">
        <v>199</v>
      </c>
      <c r="Q145" s="236"/>
      <c r="R145" s="235" t="s">
        <v>193</v>
      </c>
      <c r="S145" s="236"/>
      <c r="U145" s="233" t="s">
        <v>226</v>
      </c>
      <c r="V145" s="234"/>
      <c r="W145" s="235" t="s">
        <v>199</v>
      </c>
      <c r="X145" s="236"/>
      <c r="Y145" s="235" t="s">
        <v>193</v>
      </c>
      <c r="Z145" s="236"/>
      <c r="AB145" s="233" t="s">
        <v>227</v>
      </c>
      <c r="AC145" s="234"/>
      <c r="AD145" s="235" t="s">
        <v>199</v>
      </c>
      <c r="AE145" s="236"/>
      <c r="AF145" s="235" t="s">
        <v>193</v>
      </c>
      <c r="AG145" s="236"/>
      <c r="AV145" s="53"/>
      <c r="AW145" s="294">
        <f t="shared" si="11"/>
        <v>58.17</v>
      </c>
      <c r="AZ145" s="78">
        <f t="shared" si="12"/>
        <v>32.56</v>
      </c>
      <c r="BG145" s="57"/>
      <c r="BH145" s="79">
        <f t="shared" si="13"/>
        <v>9.27</v>
      </c>
      <c r="BL145" s="57"/>
      <c r="BR145" s="74">
        <v>55.18</v>
      </c>
      <c r="BS145" s="72">
        <v>2.99</v>
      </c>
      <c r="BT145" s="83">
        <f t="shared" si="14"/>
        <v>58.17</v>
      </c>
    </row>
    <row r="146" ht="12.0" customHeight="1">
      <c r="G146" s="238"/>
      <c r="H146" s="236"/>
      <c r="I146" s="239" t="s">
        <v>202</v>
      </c>
      <c r="J146" s="239" t="s">
        <v>192</v>
      </c>
      <c r="K146" s="239" t="s">
        <v>202</v>
      </c>
      <c r="L146" s="239" t="s">
        <v>192</v>
      </c>
      <c r="N146" s="238"/>
      <c r="O146" s="236"/>
      <c r="P146" s="239" t="s">
        <v>202</v>
      </c>
      <c r="Q146" s="239" t="s">
        <v>192</v>
      </c>
      <c r="R146" s="239" t="s">
        <v>202</v>
      </c>
      <c r="S146" s="239" t="s">
        <v>192</v>
      </c>
      <c r="U146" s="238"/>
      <c r="V146" s="236"/>
      <c r="W146" s="239" t="s">
        <v>202</v>
      </c>
      <c r="X146" s="239" t="s">
        <v>192</v>
      </c>
      <c r="Y146" s="239" t="s">
        <v>202</v>
      </c>
      <c r="Z146" s="239" t="s">
        <v>192</v>
      </c>
      <c r="AB146" s="238"/>
      <c r="AC146" s="236"/>
      <c r="AD146" s="239" t="s">
        <v>202</v>
      </c>
      <c r="AE146" s="239" t="s">
        <v>192</v>
      </c>
      <c r="AF146" s="239" t="s">
        <v>202</v>
      </c>
      <c r="AG146" s="239" t="s">
        <v>192</v>
      </c>
      <c r="AV146" s="53"/>
      <c r="AW146" s="294">
        <f t="shared" si="11"/>
        <v>48.24</v>
      </c>
      <c r="AZ146" s="78">
        <f t="shared" si="12"/>
        <v>38.03</v>
      </c>
      <c r="BG146" s="57"/>
      <c r="BH146" s="79">
        <f t="shared" si="13"/>
        <v>13.73</v>
      </c>
      <c r="BL146" s="57"/>
      <c r="BR146" s="74">
        <v>46.91</v>
      </c>
      <c r="BS146" s="72">
        <v>1.33</v>
      </c>
      <c r="BT146" s="83">
        <f t="shared" si="14"/>
        <v>48.24</v>
      </c>
    </row>
    <row r="147" ht="12.0" customHeight="1">
      <c r="G147" s="252"/>
      <c r="H147" s="253" t="s">
        <v>203</v>
      </c>
      <c r="I147" s="254">
        <v>2551582.0</v>
      </c>
      <c r="J147" s="239">
        <v>29.12</v>
      </c>
      <c r="K147" s="239">
        <v>163.0</v>
      </c>
      <c r="L147" s="317">
        <v>36.71</v>
      </c>
      <c r="N147" s="241"/>
      <c r="O147" s="242" t="s">
        <v>27</v>
      </c>
      <c r="P147" s="243">
        <v>3872797.0</v>
      </c>
      <c r="Q147" s="244">
        <v>44.2</v>
      </c>
      <c r="R147" s="242">
        <v>186.0</v>
      </c>
      <c r="S147" s="318">
        <v>41.89</v>
      </c>
      <c r="U147" s="246"/>
      <c r="V147" s="247" t="s">
        <v>27</v>
      </c>
      <c r="W147" s="248">
        <v>3872797.0</v>
      </c>
      <c r="X147" s="249">
        <v>44.2</v>
      </c>
      <c r="Y147" s="249">
        <v>186.0</v>
      </c>
      <c r="Z147" s="319">
        <v>41.89</v>
      </c>
      <c r="AB147" s="246"/>
      <c r="AC147" s="247" t="s">
        <v>27</v>
      </c>
      <c r="AD147" s="248">
        <v>3872797.0</v>
      </c>
      <c r="AE147" s="249">
        <v>44.2</v>
      </c>
      <c r="AF147" s="249">
        <v>186.0</v>
      </c>
      <c r="AG147" s="319">
        <v>41.89</v>
      </c>
      <c r="AV147" s="53"/>
      <c r="AW147" s="294">
        <f t="shared" si="11"/>
        <v>46.06</v>
      </c>
      <c r="AZ147" s="78">
        <f t="shared" si="12"/>
        <v>37.9</v>
      </c>
      <c r="BG147" s="57"/>
      <c r="BH147" s="79">
        <f t="shared" si="13"/>
        <v>16.04</v>
      </c>
      <c r="BL147" s="57"/>
      <c r="BR147" s="74">
        <v>40.59</v>
      </c>
      <c r="BS147" s="72">
        <v>5.47</v>
      </c>
      <c r="BT147" s="83">
        <f t="shared" si="14"/>
        <v>46.06</v>
      </c>
    </row>
    <row r="148" ht="12.0" customHeight="1">
      <c r="G148" s="320"/>
      <c r="H148" s="253" t="s">
        <v>204</v>
      </c>
      <c r="I148" s="254">
        <v>1398250.0</v>
      </c>
      <c r="J148" s="239">
        <v>15.96</v>
      </c>
      <c r="K148" s="239">
        <v>66.0</v>
      </c>
      <c r="L148" s="317">
        <v>14.86</v>
      </c>
      <c r="N148" s="252"/>
      <c r="O148" s="253" t="s">
        <v>203</v>
      </c>
      <c r="P148" s="254">
        <v>2551582.0</v>
      </c>
      <c r="Q148" s="239">
        <v>29.12</v>
      </c>
      <c r="R148" s="239">
        <v>163.0</v>
      </c>
      <c r="S148" s="317">
        <v>36.71</v>
      </c>
      <c r="U148" s="255"/>
      <c r="V148" s="255"/>
      <c r="W148" s="255"/>
      <c r="X148" s="255"/>
      <c r="Y148" s="255"/>
      <c r="Z148" s="255"/>
      <c r="AB148" s="255"/>
      <c r="AC148" s="255"/>
      <c r="AD148" s="255"/>
      <c r="AE148" s="255"/>
      <c r="AF148" s="255"/>
      <c r="AG148" s="255"/>
      <c r="AV148" s="53"/>
      <c r="AW148" s="294">
        <f t="shared" si="11"/>
        <v>35.87</v>
      </c>
      <c r="AZ148" s="78">
        <f t="shared" si="12"/>
        <v>53.4</v>
      </c>
      <c r="BG148" s="57"/>
      <c r="BH148" s="79">
        <f t="shared" si="13"/>
        <v>10.73</v>
      </c>
      <c r="BL148" s="57"/>
      <c r="BR148" s="74">
        <v>34.79</v>
      </c>
      <c r="BS148" s="72">
        <v>1.08</v>
      </c>
      <c r="BT148" s="83">
        <f t="shared" si="14"/>
        <v>35.87</v>
      </c>
    </row>
    <row r="149" ht="12.0" customHeight="1">
      <c r="G149" s="321"/>
      <c r="H149" s="253" t="s">
        <v>228</v>
      </c>
      <c r="I149" s="254">
        <v>1153397.0</v>
      </c>
      <c r="J149" s="239">
        <v>13.16</v>
      </c>
      <c r="K149" s="239">
        <v>70.0</v>
      </c>
      <c r="L149" s="317">
        <v>15.77</v>
      </c>
      <c r="N149" s="257"/>
      <c r="O149" s="258" t="s">
        <v>204</v>
      </c>
      <c r="P149" s="259">
        <v>1398250.0</v>
      </c>
      <c r="Q149" s="247">
        <v>15.96</v>
      </c>
      <c r="R149" s="247">
        <v>66.0</v>
      </c>
      <c r="S149" s="322">
        <v>14.86</v>
      </c>
      <c r="U149" s="260"/>
      <c r="V149" s="260"/>
      <c r="W149" s="260"/>
      <c r="X149" s="260"/>
      <c r="Y149" s="260"/>
      <c r="Z149" s="260"/>
      <c r="AB149" s="260"/>
      <c r="AC149" s="260"/>
      <c r="AD149" s="260"/>
      <c r="AE149" s="260"/>
      <c r="AF149" s="260"/>
      <c r="AG149" s="260"/>
      <c r="AV149" s="53"/>
      <c r="AW149" s="294">
        <f t="shared" si="11"/>
        <v>35.93</v>
      </c>
      <c r="AZ149" s="78">
        <f t="shared" si="12"/>
        <v>53.62</v>
      </c>
      <c r="BG149" s="57"/>
      <c r="BH149" s="79">
        <f t="shared" si="13"/>
        <v>10.45</v>
      </c>
      <c r="BL149" s="57"/>
      <c r="BR149" s="74">
        <v>34.64</v>
      </c>
      <c r="BS149" s="72">
        <v>1.29</v>
      </c>
      <c r="BT149" s="83">
        <f t="shared" si="14"/>
        <v>35.93</v>
      </c>
    </row>
    <row r="150" ht="12.0" customHeight="1">
      <c r="G150" s="323"/>
      <c r="H150" s="253" t="s">
        <v>229</v>
      </c>
      <c r="I150" s="254">
        <v>963384.0</v>
      </c>
      <c r="J150" s="239">
        <v>10.99</v>
      </c>
      <c r="K150" s="239">
        <v>49.0</v>
      </c>
      <c r="L150" s="317">
        <v>11.04</v>
      </c>
      <c r="N150" s="262"/>
      <c r="O150" s="263" t="s">
        <v>205</v>
      </c>
      <c r="P150" s="264">
        <v>259956.0</v>
      </c>
      <c r="Q150" s="263">
        <v>2.97</v>
      </c>
      <c r="R150" s="263">
        <v>6.0</v>
      </c>
      <c r="S150" s="324">
        <v>1.35</v>
      </c>
      <c r="U150" s="265"/>
      <c r="V150" s="258" t="s">
        <v>203</v>
      </c>
      <c r="W150" s="259">
        <v>2551582.0</v>
      </c>
      <c r="X150" s="247">
        <v>29.12</v>
      </c>
      <c r="Y150" s="247">
        <v>163.0</v>
      </c>
      <c r="Z150" s="322">
        <v>36.71</v>
      </c>
      <c r="AB150" s="267"/>
      <c r="AC150" s="247" t="s">
        <v>29</v>
      </c>
      <c r="AD150" s="248">
        <v>2811538.0</v>
      </c>
      <c r="AE150" s="249">
        <v>32.09</v>
      </c>
      <c r="AF150" s="249">
        <v>169.0</v>
      </c>
      <c r="AG150" s="319">
        <v>38.06</v>
      </c>
      <c r="AV150" s="53"/>
      <c r="AW150" s="294">
        <f t="shared" si="11"/>
        <v>28.01</v>
      </c>
      <c r="AZ150" s="78">
        <f t="shared" si="12"/>
        <v>40.14</v>
      </c>
      <c r="BG150" s="57"/>
      <c r="BH150" s="79">
        <f t="shared" si="13"/>
        <v>31.85</v>
      </c>
      <c r="BL150" s="57"/>
      <c r="BR150" s="74">
        <v>28.01</v>
      </c>
      <c r="BS150" s="75">
        <v>0.0</v>
      </c>
      <c r="BT150" s="83">
        <f t="shared" si="14"/>
        <v>28.01</v>
      </c>
    </row>
    <row r="151" ht="12.0" customHeight="1">
      <c r="G151" s="325"/>
      <c r="H151" s="253" t="s">
        <v>230</v>
      </c>
      <c r="I151" s="254">
        <v>906537.0</v>
      </c>
      <c r="J151" s="239">
        <v>10.35</v>
      </c>
      <c r="K151" s="239">
        <v>41.0</v>
      </c>
      <c r="L151" s="317">
        <v>9.23</v>
      </c>
      <c r="N151" s="268"/>
      <c r="O151" s="239" t="s">
        <v>206</v>
      </c>
      <c r="P151" s="254">
        <v>175904.0</v>
      </c>
      <c r="Q151" s="239">
        <v>2.01</v>
      </c>
      <c r="R151" s="239">
        <v>15.0</v>
      </c>
      <c r="S151" s="317">
        <v>3.38</v>
      </c>
      <c r="U151" s="255"/>
      <c r="V151" s="255"/>
      <c r="W151" s="255"/>
      <c r="X151" s="255"/>
      <c r="Y151" s="255"/>
      <c r="Z151" s="255"/>
      <c r="AB151" s="255"/>
      <c r="AC151" s="255"/>
      <c r="AD151" s="255"/>
      <c r="AE151" s="255"/>
      <c r="AF151" s="255"/>
      <c r="AG151" s="255"/>
      <c r="AV151" s="53"/>
      <c r="AW151" s="294">
        <f t="shared" si="11"/>
        <v>36.92</v>
      </c>
      <c r="AZ151" s="78">
        <f t="shared" si="12"/>
        <v>43.18</v>
      </c>
      <c r="BG151" s="57"/>
      <c r="BH151" s="79">
        <f t="shared" si="13"/>
        <v>19.9</v>
      </c>
      <c r="BL151" s="57"/>
      <c r="BR151" s="74">
        <v>36.0</v>
      </c>
      <c r="BS151" s="72">
        <v>0.92</v>
      </c>
      <c r="BT151" s="83">
        <f t="shared" si="14"/>
        <v>36.92</v>
      </c>
    </row>
    <row r="152" ht="12.0" customHeight="1">
      <c r="G152" s="326"/>
      <c r="H152" s="253" t="s">
        <v>231</v>
      </c>
      <c r="I152" s="254">
        <v>473646.0</v>
      </c>
      <c r="J152" s="239">
        <v>5.41</v>
      </c>
      <c r="K152" s="239">
        <v>18.0</v>
      </c>
      <c r="L152" s="317">
        <v>4.05</v>
      </c>
      <c r="N152" s="269"/>
      <c r="O152" s="270" t="s">
        <v>207</v>
      </c>
      <c r="P152" s="271">
        <v>65941.0</v>
      </c>
      <c r="Q152" s="270">
        <v>0.75</v>
      </c>
      <c r="R152" s="270">
        <v>1.0</v>
      </c>
      <c r="S152" s="327">
        <v>0.23</v>
      </c>
      <c r="U152" s="255"/>
      <c r="V152" s="255"/>
      <c r="W152" s="255"/>
      <c r="X152" s="255"/>
      <c r="Y152" s="255"/>
      <c r="Z152" s="255"/>
      <c r="AB152" s="260"/>
      <c r="AC152" s="260"/>
      <c r="AD152" s="260"/>
      <c r="AE152" s="260"/>
      <c r="AF152" s="260"/>
      <c r="AG152" s="260"/>
      <c r="AV152" s="53"/>
      <c r="AW152" s="294">
        <f t="shared" si="11"/>
        <v>40.24</v>
      </c>
      <c r="AZ152" s="78">
        <f t="shared" si="12"/>
        <v>44.71</v>
      </c>
      <c r="BG152" s="57"/>
      <c r="BH152" s="79">
        <f t="shared" si="13"/>
        <v>15.05</v>
      </c>
      <c r="BL152" s="57"/>
      <c r="BR152" s="74">
        <v>32.91</v>
      </c>
      <c r="BS152" s="72">
        <v>7.33</v>
      </c>
      <c r="BT152" s="83">
        <f t="shared" si="14"/>
        <v>40.24</v>
      </c>
    </row>
    <row r="153" ht="12.0" customHeight="1">
      <c r="G153" s="287"/>
      <c r="H153" s="239" t="s">
        <v>205</v>
      </c>
      <c r="I153" s="254">
        <v>259956.0</v>
      </c>
      <c r="J153" s="239">
        <v>2.97</v>
      </c>
      <c r="K153" s="239">
        <v>6.0</v>
      </c>
      <c r="L153" s="317">
        <v>1.35</v>
      </c>
      <c r="N153" s="272"/>
      <c r="O153" s="270" t="s">
        <v>208</v>
      </c>
      <c r="P153" s="271">
        <v>53617.0</v>
      </c>
      <c r="Q153" s="270">
        <v>0.61</v>
      </c>
      <c r="R153" s="270">
        <v>1.0</v>
      </c>
      <c r="S153" s="327">
        <v>0.23</v>
      </c>
      <c r="U153" s="260"/>
      <c r="V153" s="260"/>
      <c r="W153" s="260"/>
      <c r="X153" s="260"/>
      <c r="Y153" s="260"/>
      <c r="Z153" s="260"/>
      <c r="AB153" s="273"/>
      <c r="AC153" s="247" t="s">
        <v>209</v>
      </c>
      <c r="AD153" s="248">
        <v>2090234.0</v>
      </c>
      <c r="AE153" s="249">
        <v>23.87</v>
      </c>
      <c r="AF153" s="249">
        <v>89.0</v>
      </c>
      <c r="AG153" s="319">
        <v>20.07</v>
      </c>
      <c r="AV153" s="53"/>
      <c r="AW153" s="294">
        <f t="shared" si="11"/>
        <v>35.37</v>
      </c>
      <c r="AZ153" s="78">
        <f t="shared" si="12"/>
        <v>51.86</v>
      </c>
      <c r="BG153" s="57"/>
      <c r="BH153" s="79">
        <f t="shared" si="13"/>
        <v>12.77</v>
      </c>
      <c r="BL153" s="57"/>
      <c r="BR153" s="74">
        <v>29.45</v>
      </c>
      <c r="BS153" s="72">
        <v>5.92</v>
      </c>
      <c r="BT153" s="83">
        <f t="shared" si="14"/>
        <v>35.37</v>
      </c>
    </row>
    <row r="154" ht="12.0" customHeight="1">
      <c r="G154" s="328"/>
      <c r="H154" s="239" t="s">
        <v>206</v>
      </c>
      <c r="I154" s="254">
        <v>175904.0</v>
      </c>
      <c r="J154" s="239">
        <v>2.01</v>
      </c>
      <c r="K154" s="239">
        <v>15.0</v>
      </c>
      <c r="L154" s="317">
        <v>3.38</v>
      </c>
      <c r="N154" s="329"/>
      <c r="O154" s="330" t="s">
        <v>210</v>
      </c>
      <c r="P154" s="331">
        <f t="shared" ref="P154:S154" si="15">SUM(P155:P164)</f>
        <v>396522</v>
      </c>
      <c r="Q154" s="332">
        <f t="shared" si="15"/>
        <v>4.54</v>
      </c>
      <c r="R154" s="333">
        <f t="shared" si="15"/>
        <v>6</v>
      </c>
      <c r="S154" s="334">
        <f t="shared" si="15"/>
        <v>1.37</v>
      </c>
      <c r="U154" s="273"/>
      <c r="V154" s="247" t="s">
        <v>28</v>
      </c>
      <c r="W154" s="248">
        <v>2090234.0</v>
      </c>
      <c r="X154" s="249">
        <v>23.87</v>
      </c>
      <c r="Y154" s="249">
        <v>89.0</v>
      </c>
      <c r="Z154" s="319">
        <v>20.07</v>
      </c>
      <c r="AB154" s="255"/>
      <c r="AC154" s="255"/>
      <c r="AD154" s="255"/>
      <c r="AE154" s="255"/>
      <c r="AF154" s="255"/>
      <c r="AG154" s="255"/>
      <c r="AV154" s="53"/>
      <c r="AW154" s="294">
        <f t="shared" si="11"/>
        <v>41.6</v>
      </c>
      <c r="AZ154" s="78">
        <f t="shared" si="12"/>
        <v>47.2</v>
      </c>
      <c r="BG154" s="57"/>
      <c r="BH154" s="79">
        <f t="shared" si="13"/>
        <v>11.2</v>
      </c>
      <c r="BL154" s="57"/>
      <c r="BR154" s="74">
        <v>31.71</v>
      </c>
      <c r="BS154" s="72">
        <v>9.89</v>
      </c>
      <c r="BT154" s="83">
        <f t="shared" si="14"/>
        <v>41.6</v>
      </c>
    </row>
    <row r="155" ht="12.0" customHeight="1">
      <c r="G155" s="335"/>
      <c r="H155" s="253" t="s">
        <v>232</v>
      </c>
      <c r="I155" s="254">
        <v>121448.0</v>
      </c>
      <c r="J155" s="239">
        <v>1.39</v>
      </c>
      <c r="K155" s="239">
        <v>2.0</v>
      </c>
      <c r="L155" s="317">
        <v>0.45</v>
      </c>
      <c r="N155" s="336"/>
      <c r="O155" s="337" t="s">
        <v>211</v>
      </c>
      <c r="P155" s="338">
        <v>48451.0</v>
      </c>
      <c r="Q155" s="337">
        <v>0.55</v>
      </c>
      <c r="R155" s="337">
        <v>0.0</v>
      </c>
      <c r="S155" s="339">
        <v>0.0</v>
      </c>
      <c r="U155" s="255"/>
      <c r="V155" s="255"/>
      <c r="W155" s="255"/>
      <c r="X155" s="255"/>
      <c r="Y155" s="255"/>
      <c r="Z155" s="255"/>
      <c r="AB155" s="255"/>
      <c r="AC155" s="255"/>
      <c r="AD155" s="255"/>
      <c r="AE155" s="255"/>
      <c r="AF155" s="255"/>
      <c r="AG155" s="255"/>
      <c r="AV155" s="53"/>
      <c r="AW155" s="294">
        <f t="shared" si="11"/>
        <v>39.55</v>
      </c>
      <c r="AZ155" s="78">
        <f t="shared" si="12"/>
        <v>41.43</v>
      </c>
      <c r="BG155" s="57"/>
      <c r="BH155" s="79">
        <f t="shared" si="13"/>
        <v>19.02</v>
      </c>
      <c r="BL155" s="57"/>
      <c r="BR155" s="74">
        <v>38.12</v>
      </c>
      <c r="BS155" s="72">
        <v>1.43</v>
      </c>
      <c r="BT155" s="83">
        <f t="shared" si="14"/>
        <v>39.55</v>
      </c>
    </row>
    <row r="156" ht="12.0" customHeight="1">
      <c r="G156" s="340"/>
      <c r="H156" s="253" t="s">
        <v>233</v>
      </c>
      <c r="I156" s="254">
        <v>115515.0</v>
      </c>
      <c r="J156" s="239">
        <v>1.32</v>
      </c>
      <c r="K156" s="239">
        <v>4.0</v>
      </c>
      <c r="L156" s="317">
        <v>0.9</v>
      </c>
      <c r="N156" s="281"/>
      <c r="O156" s="282" t="s">
        <v>212</v>
      </c>
      <c r="P156" s="283">
        <v>46317.0</v>
      </c>
      <c r="Q156" s="284">
        <v>0.53</v>
      </c>
      <c r="R156" s="284">
        <v>0.0</v>
      </c>
      <c r="S156" s="285">
        <v>0.0</v>
      </c>
      <c r="U156" s="255"/>
      <c r="V156" s="255"/>
      <c r="W156" s="255"/>
      <c r="X156" s="255"/>
      <c r="Y156" s="255"/>
      <c r="Z156" s="255"/>
      <c r="AB156" s="260"/>
      <c r="AC156" s="260"/>
      <c r="AD156" s="260"/>
      <c r="AE156" s="260"/>
      <c r="AF156" s="260"/>
      <c r="AG156" s="260"/>
      <c r="AV156" s="53"/>
      <c r="AW156" s="294">
        <f t="shared" si="11"/>
        <v>35.54</v>
      </c>
      <c r="AZ156" s="78">
        <f t="shared" si="12"/>
        <v>51.47</v>
      </c>
      <c r="BG156" s="57"/>
      <c r="BH156" s="79">
        <f t="shared" si="13"/>
        <v>12.99</v>
      </c>
      <c r="BL156" s="57"/>
      <c r="BR156" s="74">
        <v>34.39</v>
      </c>
      <c r="BS156" s="72">
        <v>1.15</v>
      </c>
      <c r="BT156" s="83">
        <f t="shared" si="14"/>
        <v>35.54</v>
      </c>
    </row>
    <row r="157" ht="12.0" customHeight="1">
      <c r="G157" s="341"/>
      <c r="H157" s="253" t="s">
        <v>234</v>
      </c>
      <c r="I157" s="254">
        <v>79766.0</v>
      </c>
      <c r="J157" s="317">
        <v>0.91</v>
      </c>
      <c r="K157" s="317">
        <v>0.0</v>
      </c>
      <c r="L157" s="317">
        <v>0.0</v>
      </c>
      <c r="N157" s="281"/>
      <c r="O157" s="282" t="s">
        <v>213</v>
      </c>
      <c r="P157" s="283">
        <v>38160.0</v>
      </c>
      <c r="Q157" s="284">
        <v>0.44</v>
      </c>
      <c r="R157" s="284">
        <v>0.0</v>
      </c>
      <c r="S157" s="285">
        <v>0.0</v>
      </c>
      <c r="U157" s="260"/>
      <c r="V157" s="260"/>
      <c r="W157" s="260"/>
      <c r="X157" s="260"/>
      <c r="Y157" s="260"/>
      <c r="Z157" s="260"/>
      <c r="AV157" s="53"/>
      <c r="AW157" s="294">
        <f t="shared" si="11"/>
        <v>28.27</v>
      </c>
      <c r="AZ157" s="78">
        <f t="shared" si="12"/>
        <v>60.86</v>
      </c>
      <c r="BG157" s="57"/>
      <c r="BH157" s="79">
        <f t="shared" si="13"/>
        <v>10.87</v>
      </c>
      <c r="BL157" s="57"/>
      <c r="BR157" s="72">
        <v>27.47</v>
      </c>
      <c r="BS157" s="72">
        <v>0.8</v>
      </c>
      <c r="BT157" s="83">
        <f t="shared" si="14"/>
        <v>28.27</v>
      </c>
    </row>
    <row r="158" ht="12.0" customHeight="1">
      <c r="G158" s="328"/>
      <c r="H158" s="239" t="s">
        <v>207</v>
      </c>
      <c r="I158" s="254">
        <v>65941.0</v>
      </c>
      <c r="J158" s="239">
        <v>0.75</v>
      </c>
      <c r="K158" s="239">
        <v>1.0</v>
      </c>
      <c r="L158" s="317">
        <v>0.23</v>
      </c>
      <c r="N158" s="281"/>
      <c r="O158" s="286" t="s">
        <v>235</v>
      </c>
      <c r="P158" s="283">
        <v>31028.0</v>
      </c>
      <c r="Q158" s="284">
        <v>0.35</v>
      </c>
      <c r="R158" s="284">
        <v>3.0</v>
      </c>
      <c r="S158" s="285">
        <v>0.68</v>
      </c>
      <c r="U158" s="287"/>
      <c r="V158" s="239" t="s">
        <v>205</v>
      </c>
      <c r="W158" s="254">
        <v>259956.0</v>
      </c>
      <c r="X158" s="239">
        <v>2.97</v>
      </c>
      <c r="Y158" s="239">
        <v>6.0</v>
      </c>
      <c r="Z158" s="317">
        <v>1.35</v>
      </c>
      <c r="AV158" s="53"/>
      <c r="AW158" s="294">
        <f t="shared" si="11"/>
        <v>28.94</v>
      </c>
      <c r="AZ158" s="78">
        <f t="shared" si="12"/>
        <v>56.1</v>
      </c>
      <c r="BG158" s="57"/>
      <c r="BH158" s="79">
        <f t="shared" si="13"/>
        <v>14.96</v>
      </c>
      <c r="BL158" s="57"/>
      <c r="BR158" s="74">
        <v>28.94</v>
      </c>
      <c r="BS158" s="75">
        <v>0.0</v>
      </c>
      <c r="BT158" s="83">
        <f t="shared" si="14"/>
        <v>28.94</v>
      </c>
    </row>
    <row r="159" ht="12.0" customHeight="1">
      <c r="G159" s="342"/>
      <c r="H159" s="253" t="s">
        <v>236</v>
      </c>
      <c r="I159" s="254">
        <v>59104.0</v>
      </c>
      <c r="J159" s="239">
        <v>0.67</v>
      </c>
      <c r="K159" s="239">
        <v>2.0</v>
      </c>
      <c r="L159" s="317">
        <v>0.45</v>
      </c>
      <c r="N159" s="281"/>
      <c r="O159" s="284" t="s">
        <v>215</v>
      </c>
      <c r="P159" s="283">
        <v>29653.0</v>
      </c>
      <c r="Q159" s="284">
        <v>0.34</v>
      </c>
      <c r="R159" s="284">
        <v>0.0</v>
      </c>
      <c r="S159" s="285">
        <v>0.0</v>
      </c>
      <c r="AV159" s="53"/>
      <c r="AW159" s="294">
        <f t="shared" si="11"/>
        <v>18.56</v>
      </c>
      <c r="AZ159" s="99">
        <f t="shared" si="12"/>
        <v>70</v>
      </c>
      <c r="BG159" s="57"/>
      <c r="BH159" s="79">
        <f t="shared" si="13"/>
        <v>11.48</v>
      </c>
      <c r="BL159" s="57"/>
      <c r="BR159" s="72">
        <v>17.73</v>
      </c>
      <c r="BS159" s="72">
        <v>0.83</v>
      </c>
      <c r="BT159" s="83">
        <f t="shared" si="14"/>
        <v>18.56</v>
      </c>
    </row>
    <row r="160" ht="12.0" customHeight="1">
      <c r="G160" s="343"/>
      <c r="H160" s="247" t="s">
        <v>208</v>
      </c>
      <c r="I160" s="259">
        <v>53617.0</v>
      </c>
      <c r="J160" s="247">
        <v>0.61</v>
      </c>
      <c r="K160" s="247">
        <v>1.0</v>
      </c>
      <c r="L160" s="322">
        <v>0.23</v>
      </c>
      <c r="N160" s="281"/>
      <c r="O160" s="282" t="s">
        <v>216</v>
      </c>
      <c r="P160" s="283">
        <v>28900.0</v>
      </c>
      <c r="Q160" s="284">
        <v>0.33</v>
      </c>
      <c r="R160" s="284">
        <v>1.0</v>
      </c>
      <c r="S160" s="285">
        <v>0.23</v>
      </c>
      <c r="AV160" s="53"/>
      <c r="AW160" s="294">
        <f t="shared" si="11"/>
        <v>21.22</v>
      </c>
      <c r="AZ160" s="78">
        <f t="shared" si="12"/>
        <v>67.55</v>
      </c>
      <c r="BG160" s="57"/>
      <c r="BH160" s="79">
        <f t="shared" si="13"/>
        <v>11.23</v>
      </c>
      <c r="BL160" s="57"/>
      <c r="BR160" s="72">
        <v>16.05</v>
      </c>
      <c r="BS160" s="72">
        <v>5.17</v>
      </c>
      <c r="BT160" s="83">
        <f t="shared" si="14"/>
        <v>21.22</v>
      </c>
    </row>
    <row r="161" ht="12.0" customHeight="1">
      <c r="G161" s="329"/>
      <c r="H161" s="330" t="s">
        <v>210</v>
      </c>
      <c r="I161" s="331">
        <f t="shared" ref="I161:L161" si="16">SUM(I162:I171)</f>
        <v>396522</v>
      </c>
      <c r="J161" s="332">
        <f t="shared" si="16"/>
        <v>4.54</v>
      </c>
      <c r="K161" s="333">
        <f t="shared" si="16"/>
        <v>6</v>
      </c>
      <c r="L161" s="334">
        <f t="shared" si="16"/>
        <v>1.37</v>
      </c>
      <c r="N161" s="281"/>
      <c r="O161" s="282" t="s">
        <v>217</v>
      </c>
      <c r="P161" s="283">
        <v>15409.0</v>
      </c>
      <c r="Q161" s="284">
        <v>0.18</v>
      </c>
      <c r="R161" s="284">
        <v>1.0</v>
      </c>
      <c r="S161" s="285">
        <v>0.23</v>
      </c>
      <c r="U161" s="231" t="s">
        <v>196</v>
      </c>
      <c r="V161" s="148"/>
      <c r="W161" s="148"/>
      <c r="X161" s="148"/>
      <c r="Y161" s="148"/>
      <c r="Z161" s="149"/>
      <c r="AB161" s="232" t="s">
        <v>237</v>
      </c>
      <c r="AC161" s="148"/>
      <c r="AD161" s="148"/>
      <c r="AE161" s="148"/>
      <c r="AF161" s="148"/>
      <c r="AG161" s="149"/>
      <c r="AV161" s="53"/>
      <c r="AW161" s="294">
        <f t="shared" si="11"/>
        <v>33.05</v>
      </c>
      <c r="AZ161" s="78">
        <f t="shared" si="12"/>
        <v>55.71</v>
      </c>
      <c r="BG161" s="57"/>
      <c r="BH161" s="79">
        <f t="shared" si="13"/>
        <v>11.24</v>
      </c>
      <c r="BL161" s="57"/>
      <c r="BR161" s="72">
        <v>28.85</v>
      </c>
      <c r="BS161" s="72">
        <v>4.2</v>
      </c>
      <c r="BT161" s="83">
        <f t="shared" si="14"/>
        <v>33.05</v>
      </c>
    </row>
    <row r="162" ht="12.0" customHeight="1">
      <c r="G162" s="336"/>
      <c r="H162" s="337" t="s">
        <v>211</v>
      </c>
      <c r="I162" s="338">
        <v>48451.0</v>
      </c>
      <c r="J162" s="337">
        <v>0.55</v>
      </c>
      <c r="K162" s="337">
        <v>0.0</v>
      </c>
      <c r="L162" s="339">
        <v>0.0</v>
      </c>
      <c r="N162" s="281"/>
      <c r="O162" s="284" t="s">
        <v>218</v>
      </c>
      <c r="P162" s="283">
        <v>11871.0</v>
      </c>
      <c r="Q162" s="284">
        <v>0.14</v>
      </c>
      <c r="R162" s="284">
        <v>0.0</v>
      </c>
      <c r="S162" s="285">
        <v>0.0</v>
      </c>
      <c r="U162" s="233" t="s">
        <v>238</v>
      </c>
      <c r="V162" s="234"/>
      <c r="W162" s="235" t="s">
        <v>199</v>
      </c>
      <c r="X162" s="236"/>
      <c r="Y162" s="235" t="s">
        <v>193</v>
      </c>
      <c r="Z162" s="236"/>
      <c r="AB162" s="233" t="s">
        <v>239</v>
      </c>
      <c r="AC162" s="234"/>
      <c r="AD162" s="235" t="s">
        <v>199</v>
      </c>
      <c r="AE162" s="236"/>
      <c r="AF162" s="235" t="s">
        <v>193</v>
      </c>
      <c r="AG162" s="236"/>
      <c r="AV162" s="53"/>
      <c r="AW162" s="294">
        <f t="shared" si="11"/>
        <v>33.97</v>
      </c>
      <c r="AZ162" s="78">
        <f t="shared" si="12"/>
        <v>44.36</v>
      </c>
      <c r="BG162" s="57"/>
      <c r="BH162" s="79">
        <f t="shared" si="13"/>
        <v>21.67</v>
      </c>
      <c r="BL162" s="57"/>
      <c r="BR162" s="74">
        <v>32.01</v>
      </c>
      <c r="BS162" s="72">
        <v>1.96</v>
      </c>
      <c r="BT162" s="83">
        <f t="shared" si="14"/>
        <v>33.97</v>
      </c>
    </row>
    <row r="163" ht="12.0" customHeight="1">
      <c r="G163" s="281"/>
      <c r="H163" s="282" t="s">
        <v>212</v>
      </c>
      <c r="I163" s="283">
        <v>46317.0</v>
      </c>
      <c r="J163" s="284">
        <v>0.53</v>
      </c>
      <c r="K163" s="284">
        <v>0.0</v>
      </c>
      <c r="L163" s="285">
        <v>0.0</v>
      </c>
      <c r="N163" s="281"/>
      <c r="O163" s="286" t="s">
        <v>240</v>
      </c>
      <c r="P163" s="283">
        <v>11864.0</v>
      </c>
      <c r="Q163" s="284">
        <v>0.14</v>
      </c>
      <c r="R163" s="284">
        <v>1.0</v>
      </c>
      <c r="S163" s="285">
        <v>0.23</v>
      </c>
      <c r="U163" s="238"/>
      <c r="V163" s="236"/>
      <c r="W163" s="239" t="s">
        <v>202</v>
      </c>
      <c r="X163" s="239" t="s">
        <v>192</v>
      </c>
      <c r="Y163" s="239" t="s">
        <v>202</v>
      </c>
      <c r="Z163" s="239" t="s">
        <v>192</v>
      </c>
      <c r="AB163" s="238"/>
      <c r="AC163" s="236"/>
      <c r="AD163" s="239" t="s">
        <v>202</v>
      </c>
      <c r="AE163" s="239" t="s">
        <v>192</v>
      </c>
      <c r="AF163" s="239" t="s">
        <v>202</v>
      </c>
      <c r="AG163" s="239" t="s">
        <v>192</v>
      </c>
      <c r="AV163" s="53"/>
      <c r="AW163" s="294">
        <f t="shared" si="11"/>
        <v>15.81</v>
      </c>
      <c r="AZ163" s="78">
        <f t="shared" si="12"/>
        <v>63.26</v>
      </c>
      <c r="BG163" s="57"/>
      <c r="BH163" s="79">
        <f t="shared" si="13"/>
        <v>20.93</v>
      </c>
      <c r="BL163" s="57"/>
      <c r="BR163" s="72">
        <v>11.55</v>
      </c>
      <c r="BS163" s="72">
        <v>4.26</v>
      </c>
      <c r="BT163" s="83">
        <f t="shared" si="14"/>
        <v>15.81</v>
      </c>
    </row>
    <row r="164" ht="12.0" customHeight="1">
      <c r="G164" s="281"/>
      <c r="H164" s="282" t="s">
        <v>213</v>
      </c>
      <c r="I164" s="283">
        <v>38160.0</v>
      </c>
      <c r="J164" s="284">
        <v>0.44</v>
      </c>
      <c r="K164" s="284">
        <v>0.0</v>
      </c>
      <c r="L164" s="285">
        <v>0.0</v>
      </c>
      <c r="N164" s="289"/>
      <c r="O164" s="290" t="s">
        <v>220</v>
      </c>
      <c r="P164" s="291">
        <v>134869.0</v>
      </c>
      <c r="Q164" s="290">
        <v>1.54</v>
      </c>
      <c r="R164" s="290">
        <v>0.0</v>
      </c>
      <c r="S164" s="292">
        <v>0.0</v>
      </c>
      <c r="U164" s="246"/>
      <c r="V164" s="247" t="s">
        <v>27</v>
      </c>
      <c r="W164" s="248">
        <v>3872797.0</v>
      </c>
      <c r="X164" s="249">
        <v>44.2</v>
      </c>
      <c r="Y164" s="249">
        <v>196.0</v>
      </c>
      <c r="Z164" s="250">
        <f>Y164/$U$181</f>
        <v>0.4414414414</v>
      </c>
      <c r="AB164" s="246"/>
      <c r="AC164" s="247" t="s">
        <v>27</v>
      </c>
      <c r="AD164" s="248">
        <v>3872797.0</v>
      </c>
      <c r="AE164" s="249">
        <v>44.2</v>
      </c>
      <c r="AF164" s="249">
        <v>196.0</v>
      </c>
      <c r="AG164" s="250">
        <f>AF164/U181</f>
        <v>0.4414414414</v>
      </c>
      <c r="AV164" s="53"/>
      <c r="AW164" s="294">
        <f t="shared" si="11"/>
        <v>9.85</v>
      </c>
      <c r="AZ164" s="78">
        <f t="shared" si="12"/>
        <v>65.91</v>
      </c>
      <c r="BG164" s="57"/>
      <c r="BH164" s="79">
        <f t="shared" si="13"/>
        <v>24.24</v>
      </c>
      <c r="BL164" s="57"/>
      <c r="BR164" s="72">
        <v>9.85</v>
      </c>
      <c r="BS164" s="75">
        <v>0.0</v>
      </c>
      <c r="BT164" s="83">
        <f t="shared" si="14"/>
        <v>9.85</v>
      </c>
    </row>
    <row r="165" ht="12.0" customHeight="1">
      <c r="G165" s="281"/>
      <c r="H165" s="286" t="s">
        <v>241</v>
      </c>
      <c r="I165" s="283">
        <v>31028.0</v>
      </c>
      <c r="J165" s="284">
        <v>0.35</v>
      </c>
      <c r="K165" s="284">
        <v>3.0</v>
      </c>
      <c r="L165" s="285">
        <v>0.68</v>
      </c>
      <c r="U165" s="255"/>
      <c r="V165" s="255"/>
      <c r="W165" s="255"/>
      <c r="X165" s="255"/>
      <c r="Y165" s="255"/>
      <c r="Z165" s="255"/>
      <c r="AB165" s="255"/>
      <c r="AC165" s="255"/>
      <c r="AD165" s="255"/>
      <c r="AE165" s="255"/>
      <c r="AF165" s="255"/>
      <c r="AG165" s="255"/>
      <c r="AV165" s="53"/>
      <c r="AW165" s="294">
        <f t="shared" si="11"/>
        <v>8.23</v>
      </c>
      <c r="AZ165" s="78">
        <f t="shared" si="12"/>
        <v>70.28</v>
      </c>
      <c r="BG165" s="57"/>
      <c r="BH165" s="79">
        <f t="shared" si="13"/>
        <v>21.49</v>
      </c>
      <c r="BL165" s="57"/>
      <c r="BR165" s="72">
        <v>5.71</v>
      </c>
      <c r="BS165" s="72">
        <v>2.52</v>
      </c>
      <c r="BT165" s="83">
        <f t="shared" si="14"/>
        <v>8.23</v>
      </c>
    </row>
    <row r="166" ht="12.0" customHeight="1">
      <c r="G166" s="281"/>
      <c r="H166" s="284" t="s">
        <v>215</v>
      </c>
      <c r="I166" s="283">
        <v>29653.0</v>
      </c>
      <c r="J166" s="284">
        <v>0.34</v>
      </c>
      <c r="K166" s="284">
        <v>0.0</v>
      </c>
      <c r="L166" s="285">
        <v>0.0</v>
      </c>
      <c r="N166" s="231" t="s">
        <v>195</v>
      </c>
      <c r="O166" s="148"/>
      <c r="P166" s="148"/>
      <c r="Q166" s="148"/>
      <c r="R166" s="148"/>
      <c r="S166" s="149"/>
      <c r="U166" s="260"/>
      <c r="V166" s="260"/>
      <c r="W166" s="260"/>
      <c r="X166" s="260"/>
      <c r="Y166" s="260"/>
      <c r="Z166" s="260"/>
      <c r="AB166" s="260"/>
      <c r="AC166" s="260"/>
      <c r="AD166" s="260"/>
      <c r="AE166" s="260"/>
      <c r="AF166" s="260"/>
      <c r="AG166" s="260"/>
      <c r="AV166" s="53"/>
      <c r="AW166" s="294">
        <f t="shared" si="11"/>
        <v>62.29</v>
      </c>
      <c r="AZ166" s="78">
        <f t="shared" si="12"/>
        <v>25.84</v>
      </c>
      <c r="BG166" s="57"/>
      <c r="BH166" s="79">
        <f t="shared" si="13"/>
        <v>11.87</v>
      </c>
      <c r="BL166" s="57"/>
      <c r="BR166" s="74">
        <v>62.29</v>
      </c>
      <c r="BS166" s="75">
        <v>0.0</v>
      </c>
      <c r="BT166" s="83">
        <f t="shared" si="14"/>
        <v>62.29</v>
      </c>
    </row>
    <row r="167" ht="12.0" customHeight="1">
      <c r="G167" s="281"/>
      <c r="H167" s="282" t="s">
        <v>216</v>
      </c>
      <c r="I167" s="283">
        <v>28900.0</v>
      </c>
      <c r="J167" s="284">
        <v>0.33</v>
      </c>
      <c r="K167" s="284">
        <v>1.0</v>
      </c>
      <c r="L167" s="285">
        <v>0.23</v>
      </c>
      <c r="N167" s="233" t="s">
        <v>242</v>
      </c>
      <c r="O167" s="234"/>
      <c r="P167" s="235" t="s">
        <v>199</v>
      </c>
      <c r="Q167" s="236"/>
      <c r="R167" s="235" t="s">
        <v>193</v>
      </c>
      <c r="S167" s="236"/>
      <c r="U167" s="265"/>
      <c r="V167" s="258" t="s">
        <v>203</v>
      </c>
      <c r="W167" s="259">
        <v>2551582.0</v>
      </c>
      <c r="X167" s="247">
        <v>29.12</v>
      </c>
      <c r="Y167" s="247">
        <v>129.0</v>
      </c>
      <c r="Z167" s="266">
        <f>Y167/U181</f>
        <v>0.2905405405</v>
      </c>
      <c r="AB167" s="267"/>
      <c r="AC167" s="247" t="s">
        <v>29</v>
      </c>
      <c r="AD167" s="248">
        <v>2811538.0</v>
      </c>
      <c r="AE167" s="249">
        <v>32.09</v>
      </c>
      <c r="AF167" s="249">
        <v>142.0</v>
      </c>
      <c r="AG167" s="250">
        <f>AF167/U181</f>
        <v>0.3198198198</v>
      </c>
      <c r="AV167" s="53"/>
      <c r="AW167" s="294">
        <f t="shared" si="11"/>
        <v>47</v>
      </c>
      <c r="AZ167" s="78">
        <f t="shared" si="12"/>
        <v>29.61</v>
      </c>
      <c r="BG167" s="57"/>
      <c r="BH167" s="79">
        <f t="shared" si="13"/>
        <v>23.39</v>
      </c>
      <c r="BL167" s="57"/>
      <c r="BR167" s="74">
        <v>47.0</v>
      </c>
      <c r="BS167" s="75">
        <v>0.0</v>
      </c>
      <c r="BT167" s="83">
        <f t="shared" si="14"/>
        <v>47</v>
      </c>
    </row>
    <row r="168" ht="12.0" customHeight="1">
      <c r="G168" s="281"/>
      <c r="H168" s="282" t="s">
        <v>217</v>
      </c>
      <c r="I168" s="283">
        <v>15409.0</v>
      </c>
      <c r="J168" s="284">
        <v>0.18</v>
      </c>
      <c r="K168" s="284">
        <v>1.0</v>
      </c>
      <c r="L168" s="285">
        <v>0.23</v>
      </c>
      <c r="N168" s="238"/>
      <c r="O168" s="236"/>
      <c r="P168" s="239" t="s">
        <v>202</v>
      </c>
      <c r="Q168" s="239" t="s">
        <v>192</v>
      </c>
      <c r="R168" s="239" t="s">
        <v>202</v>
      </c>
      <c r="S168" s="239" t="s">
        <v>192</v>
      </c>
      <c r="U168" s="255"/>
      <c r="V168" s="255"/>
      <c r="W168" s="255"/>
      <c r="X168" s="255"/>
      <c r="Y168" s="255"/>
      <c r="Z168" s="255"/>
      <c r="AB168" s="255"/>
      <c r="AC168" s="255"/>
      <c r="AD168" s="255"/>
      <c r="AE168" s="255"/>
      <c r="AF168" s="255"/>
      <c r="AG168" s="255"/>
      <c r="AV168" s="53"/>
      <c r="AW168" s="294">
        <f t="shared" si="11"/>
        <v>57.05</v>
      </c>
      <c r="AZ168" s="78">
        <f t="shared" si="12"/>
        <v>29.66</v>
      </c>
      <c r="BG168" s="57"/>
      <c r="BH168" s="79">
        <f t="shared" si="13"/>
        <v>13.29</v>
      </c>
      <c r="BL168" s="57"/>
      <c r="BR168" s="74">
        <v>57.05</v>
      </c>
      <c r="BS168" s="75">
        <v>0.0</v>
      </c>
      <c r="BT168" s="83">
        <f t="shared" si="14"/>
        <v>57.05</v>
      </c>
    </row>
    <row r="169" ht="12.0" customHeight="1">
      <c r="G169" s="281"/>
      <c r="H169" s="284" t="s">
        <v>218</v>
      </c>
      <c r="I169" s="283">
        <v>11871.0</v>
      </c>
      <c r="J169" s="284">
        <v>0.14</v>
      </c>
      <c r="K169" s="284">
        <v>0.0</v>
      </c>
      <c r="L169" s="285">
        <v>0.0</v>
      </c>
      <c r="N169" s="241"/>
      <c r="O169" s="242" t="s">
        <v>27</v>
      </c>
      <c r="P169" s="243">
        <v>3872797.0</v>
      </c>
      <c r="Q169" s="244">
        <v>44.2</v>
      </c>
      <c r="R169" s="242">
        <v>197.0</v>
      </c>
      <c r="S169" s="245">
        <f t="shared" ref="S169:S176" si="17">R169/$U$181</f>
        <v>0.4436936937</v>
      </c>
      <c r="U169" s="255"/>
      <c r="V169" s="255"/>
      <c r="W169" s="255"/>
      <c r="X169" s="255"/>
      <c r="Y169" s="255"/>
      <c r="Z169" s="255"/>
      <c r="AB169" s="260"/>
      <c r="AC169" s="260"/>
      <c r="AD169" s="260"/>
      <c r="AE169" s="260"/>
      <c r="AF169" s="260"/>
      <c r="AG169" s="260"/>
      <c r="AV169" s="53"/>
      <c r="AW169" s="294">
        <f t="shared" si="11"/>
        <v>47.47</v>
      </c>
      <c r="AZ169" s="78">
        <f t="shared" si="12"/>
        <v>31.64</v>
      </c>
      <c r="BG169" s="57"/>
      <c r="BH169" s="79">
        <f t="shared" si="13"/>
        <v>20.89</v>
      </c>
      <c r="BL169" s="57"/>
      <c r="BR169" s="74">
        <v>47.47</v>
      </c>
      <c r="BS169" s="75">
        <v>0.0</v>
      </c>
      <c r="BT169" s="83">
        <f t="shared" si="14"/>
        <v>47.47</v>
      </c>
    </row>
    <row r="170" ht="12.0" customHeight="1">
      <c r="G170" s="281"/>
      <c r="H170" s="286" t="s">
        <v>243</v>
      </c>
      <c r="I170" s="283">
        <v>11864.0</v>
      </c>
      <c r="J170" s="284">
        <v>0.14</v>
      </c>
      <c r="K170" s="284">
        <v>1.0</v>
      </c>
      <c r="L170" s="285">
        <v>0.23</v>
      </c>
      <c r="N170" s="252"/>
      <c r="O170" s="253" t="s">
        <v>203</v>
      </c>
      <c r="P170" s="254">
        <v>2551582.0</v>
      </c>
      <c r="Q170" s="239">
        <v>29.12</v>
      </c>
      <c r="R170" s="239">
        <v>130.0</v>
      </c>
      <c r="S170" s="245">
        <f t="shared" si="17"/>
        <v>0.2927927928</v>
      </c>
      <c r="U170" s="260"/>
      <c r="V170" s="260"/>
      <c r="W170" s="260"/>
      <c r="X170" s="260"/>
      <c r="Y170" s="260"/>
      <c r="Z170" s="260"/>
      <c r="AB170" s="273"/>
      <c r="AC170" s="247" t="s">
        <v>209</v>
      </c>
      <c r="AD170" s="248">
        <v>2090234.0</v>
      </c>
      <c r="AE170" s="249">
        <v>23.87</v>
      </c>
      <c r="AF170" s="249">
        <v>106.0</v>
      </c>
      <c r="AG170" s="250">
        <f>AF170/U181</f>
        <v>0.2387387387</v>
      </c>
      <c r="AV170" s="53"/>
      <c r="AW170" s="294">
        <f t="shared" si="11"/>
        <v>48.47</v>
      </c>
      <c r="AZ170" s="78">
        <f t="shared" si="12"/>
        <v>38.44</v>
      </c>
      <c r="BG170" s="57"/>
      <c r="BH170" s="79">
        <f t="shared" si="13"/>
        <v>13.09</v>
      </c>
      <c r="BL170" s="57"/>
      <c r="BR170" s="74">
        <v>48.47</v>
      </c>
      <c r="BS170" s="75">
        <v>0.0</v>
      </c>
      <c r="BT170" s="83">
        <f t="shared" si="14"/>
        <v>48.47</v>
      </c>
    </row>
    <row r="171" ht="12.0" customHeight="1">
      <c r="G171" s="289"/>
      <c r="H171" s="290" t="s">
        <v>220</v>
      </c>
      <c r="I171" s="291">
        <v>134869.0</v>
      </c>
      <c r="J171" s="290">
        <v>1.54</v>
      </c>
      <c r="K171" s="290">
        <v>0.0</v>
      </c>
      <c r="L171" s="292">
        <v>0.0</v>
      </c>
      <c r="N171" s="257"/>
      <c r="O171" s="258" t="s">
        <v>204</v>
      </c>
      <c r="P171" s="259">
        <v>1398250.0</v>
      </c>
      <c r="Q171" s="247">
        <v>15.96</v>
      </c>
      <c r="R171" s="247">
        <v>71.0</v>
      </c>
      <c r="S171" s="245">
        <f t="shared" si="17"/>
        <v>0.1599099099</v>
      </c>
      <c r="U171" s="273"/>
      <c r="V171" s="247" t="s">
        <v>28</v>
      </c>
      <c r="W171" s="248">
        <v>2090234.0</v>
      </c>
      <c r="X171" s="249">
        <v>23.87</v>
      </c>
      <c r="Y171" s="249">
        <v>106.0</v>
      </c>
      <c r="Z171" s="250">
        <f>Y171/U181</f>
        <v>0.2387387387</v>
      </c>
      <c r="AB171" s="255"/>
      <c r="AC171" s="255"/>
      <c r="AD171" s="255"/>
      <c r="AE171" s="255"/>
      <c r="AF171" s="255"/>
      <c r="AG171" s="255"/>
      <c r="AV171" s="53"/>
      <c r="AW171" s="294">
        <f t="shared" si="11"/>
        <v>75.99</v>
      </c>
      <c r="AZ171" s="78">
        <f t="shared" si="12"/>
        <v>22.32</v>
      </c>
      <c r="BG171" s="57"/>
      <c r="BH171" s="79">
        <f t="shared" si="13"/>
        <v>1.69</v>
      </c>
      <c r="BL171" s="57"/>
      <c r="BR171" s="74">
        <v>75.99</v>
      </c>
      <c r="BS171" s="75">
        <v>0.0</v>
      </c>
      <c r="BT171" s="83">
        <f t="shared" si="14"/>
        <v>75.99</v>
      </c>
    </row>
    <row r="172" ht="12.0" customHeight="1">
      <c r="N172" s="262"/>
      <c r="O172" s="263" t="s">
        <v>205</v>
      </c>
      <c r="P172" s="264">
        <v>259956.0</v>
      </c>
      <c r="Q172" s="263">
        <v>2.97</v>
      </c>
      <c r="R172" s="263">
        <v>13.0</v>
      </c>
      <c r="S172" s="245">
        <f t="shared" si="17"/>
        <v>0.02927927928</v>
      </c>
      <c r="U172" s="255"/>
      <c r="V172" s="255"/>
      <c r="W172" s="255"/>
      <c r="X172" s="255"/>
      <c r="Y172" s="255"/>
      <c r="Z172" s="255"/>
      <c r="AB172" s="255"/>
      <c r="AC172" s="255"/>
      <c r="AD172" s="255"/>
      <c r="AE172" s="255"/>
      <c r="AF172" s="255"/>
      <c r="AG172" s="255"/>
      <c r="AV172" s="53"/>
      <c r="AW172" s="294">
        <f t="shared" si="11"/>
        <v>50.9</v>
      </c>
      <c r="AZ172" s="78">
        <f t="shared" si="12"/>
        <v>37.74</v>
      </c>
      <c r="BG172" s="57"/>
      <c r="BH172" s="79">
        <f t="shared" si="13"/>
        <v>11.36</v>
      </c>
      <c r="BL172" s="57"/>
      <c r="BR172" s="74">
        <v>50.9</v>
      </c>
      <c r="BS172" s="75">
        <v>0.0</v>
      </c>
      <c r="BT172" s="83">
        <f t="shared" si="14"/>
        <v>50.9</v>
      </c>
    </row>
    <row r="173" ht="12.0" customHeight="1">
      <c r="N173" s="268"/>
      <c r="O173" s="239" t="s">
        <v>206</v>
      </c>
      <c r="P173" s="254">
        <v>175904.0</v>
      </c>
      <c r="Q173" s="239">
        <v>2.01</v>
      </c>
      <c r="R173" s="239">
        <v>8.0</v>
      </c>
      <c r="S173" s="245">
        <f t="shared" si="17"/>
        <v>0.01801801802</v>
      </c>
      <c r="U173" s="255"/>
      <c r="V173" s="255"/>
      <c r="W173" s="255"/>
      <c r="X173" s="255"/>
      <c r="Y173" s="255"/>
      <c r="Z173" s="255"/>
      <c r="AB173" s="260"/>
      <c r="AC173" s="260"/>
      <c r="AD173" s="260"/>
      <c r="AE173" s="260"/>
      <c r="AF173" s="260"/>
      <c r="AG173" s="260"/>
      <c r="AV173" s="53"/>
      <c r="AW173" s="294">
        <f t="shared" si="11"/>
        <v>46.97</v>
      </c>
      <c r="AZ173" s="78">
        <f t="shared" si="12"/>
        <v>30.5</v>
      </c>
      <c r="BG173" s="57"/>
      <c r="BH173" s="79">
        <f t="shared" si="13"/>
        <v>22.53</v>
      </c>
      <c r="BL173" s="57"/>
      <c r="BR173" s="74">
        <v>46.97</v>
      </c>
      <c r="BS173" s="75">
        <v>0.0</v>
      </c>
      <c r="BT173" s="83">
        <f t="shared" si="14"/>
        <v>46.97</v>
      </c>
    </row>
    <row r="174" ht="12.0" customHeight="1">
      <c r="N174" s="269"/>
      <c r="O174" s="270" t="s">
        <v>207</v>
      </c>
      <c r="P174" s="271">
        <v>65941.0</v>
      </c>
      <c r="Q174" s="270">
        <v>0.75</v>
      </c>
      <c r="R174" s="270">
        <v>3.0</v>
      </c>
      <c r="S174" s="245">
        <f t="shared" si="17"/>
        <v>0.006756756757</v>
      </c>
      <c r="U174" s="260"/>
      <c r="V174" s="260"/>
      <c r="W174" s="260"/>
      <c r="X174" s="260"/>
      <c r="Y174" s="260"/>
      <c r="Z174" s="260"/>
      <c r="AV174" s="53"/>
      <c r="AW174" s="294">
        <f t="shared" si="11"/>
        <v>37.71</v>
      </c>
      <c r="AZ174" s="78">
        <f t="shared" si="12"/>
        <v>50.95</v>
      </c>
      <c r="BG174" s="57"/>
      <c r="BH174" s="79">
        <f t="shared" si="13"/>
        <v>11.34</v>
      </c>
      <c r="BL174" s="57"/>
      <c r="BR174" s="74">
        <v>37.71</v>
      </c>
      <c r="BS174" s="75">
        <v>0.0</v>
      </c>
      <c r="BT174" s="83">
        <f t="shared" si="14"/>
        <v>37.71</v>
      </c>
    </row>
    <row r="175" ht="12.0" customHeight="1">
      <c r="N175" s="272"/>
      <c r="O175" s="270" t="s">
        <v>208</v>
      </c>
      <c r="P175" s="271">
        <v>53617.0</v>
      </c>
      <c r="Q175" s="270">
        <v>0.61</v>
      </c>
      <c r="R175" s="270">
        <v>2.0</v>
      </c>
      <c r="S175" s="245">
        <f t="shared" si="17"/>
        <v>0.004504504505</v>
      </c>
      <c r="U175" s="287"/>
      <c r="V175" s="239" t="s">
        <v>205</v>
      </c>
      <c r="W175" s="254">
        <v>259956.0</v>
      </c>
      <c r="X175" s="239">
        <v>2.97</v>
      </c>
      <c r="Y175" s="239">
        <v>13.0</v>
      </c>
      <c r="Z175" s="288">
        <f>Y175/U181</f>
        <v>0.02927927928</v>
      </c>
      <c r="AV175" s="53"/>
      <c r="AW175" s="294">
        <f t="shared" si="11"/>
        <v>40.96</v>
      </c>
      <c r="AZ175" s="78">
        <f t="shared" si="12"/>
        <v>19.81</v>
      </c>
      <c r="BG175" s="57"/>
      <c r="BH175" s="79">
        <f t="shared" si="13"/>
        <v>39.23</v>
      </c>
      <c r="BL175" s="57"/>
      <c r="BR175" s="74">
        <v>40.96</v>
      </c>
      <c r="BS175" s="75">
        <v>0.0</v>
      </c>
      <c r="BT175" s="83">
        <f t="shared" si="14"/>
        <v>40.96</v>
      </c>
    </row>
    <row r="176" ht="12.0" customHeight="1">
      <c r="N176" s="274"/>
      <c r="O176" s="249" t="s">
        <v>210</v>
      </c>
      <c r="P176" s="248">
        <f t="shared" ref="P176:Q176" si="18">SUM(P177:P186)</f>
        <v>396522</v>
      </c>
      <c r="Q176" s="275">
        <f t="shared" si="18"/>
        <v>4.54</v>
      </c>
      <c r="R176" s="276">
        <v>20.0</v>
      </c>
      <c r="S176" s="250">
        <f t="shared" si="17"/>
        <v>0.04504504505</v>
      </c>
      <c r="AV176" s="53"/>
      <c r="AW176" s="294">
        <f t="shared" si="11"/>
        <v>29.98</v>
      </c>
      <c r="AZ176" s="78">
        <f t="shared" si="12"/>
        <v>35.12</v>
      </c>
      <c r="BG176" s="57"/>
      <c r="BH176" s="79">
        <f t="shared" si="13"/>
        <v>34.9</v>
      </c>
      <c r="BL176" s="57"/>
      <c r="BR176" s="72">
        <v>29.98</v>
      </c>
      <c r="BS176" s="75">
        <v>0.0</v>
      </c>
      <c r="BT176" s="83">
        <f t="shared" si="14"/>
        <v>29.98</v>
      </c>
    </row>
    <row r="177" ht="12.0" customHeight="1">
      <c r="N177" s="277"/>
      <c r="O177" s="278" t="s">
        <v>211</v>
      </c>
      <c r="P177" s="279">
        <v>48451.0</v>
      </c>
      <c r="Q177" s="278">
        <v>0.55</v>
      </c>
      <c r="R177" s="278">
        <v>0.0</v>
      </c>
      <c r="S177" s="280">
        <v>0.0</v>
      </c>
      <c r="AV177" s="53"/>
      <c r="AW177" s="294">
        <f t="shared" si="11"/>
        <v>38.57</v>
      </c>
      <c r="AZ177" s="78">
        <f t="shared" si="12"/>
        <v>43.25</v>
      </c>
      <c r="BG177" s="57"/>
      <c r="BH177" s="79">
        <f t="shared" si="13"/>
        <v>18.18</v>
      </c>
      <c r="BL177" s="57"/>
      <c r="BR177" s="74">
        <v>38.57</v>
      </c>
      <c r="BS177" s="75">
        <v>0.0</v>
      </c>
      <c r="BT177" s="83">
        <f t="shared" si="14"/>
        <v>38.57</v>
      </c>
    </row>
    <row r="178" ht="12.0" customHeight="1">
      <c r="N178" s="281"/>
      <c r="O178" s="282" t="s">
        <v>212</v>
      </c>
      <c r="P178" s="283">
        <v>46317.0</v>
      </c>
      <c r="Q178" s="284">
        <v>0.53</v>
      </c>
      <c r="R178" s="284">
        <v>0.0</v>
      </c>
      <c r="S178" s="285">
        <v>0.0</v>
      </c>
      <c r="AV178" s="53"/>
      <c r="AW178" s="294">
        <f t="shared" si="11"/>
        <v>37.91</v>
      </c>
      <c r="AZ178" s="78">
        <f t="shared" si="12"/>
        <v>31.31</v>
      </c>
      <c r="BG178" s="57"/>
      <c r="BH178" s="79">
        <f t="shared" si="13"/>
        <v>30.78</v>
      </c>
      <c r="BL178" s="57"/>
      <c r="BR178" s="74">
        <v>37.91</v>
      </c>
      <c r="BS178" s="75">
        <v>0.0</v>
      </c>
      <c r="BT178" s="83">
        <f t="shared" si="14"/>
        <v>37.91</v>
      </c>
    </row>
    <row r="179" ht="12.0" customHeight="1">
      <c r="N179" s="281"/>
      <c r="O179" s="282" t="s">
        <v>213</v>
      </c>
      <c r="P179" s="283">
        <v>38160.0</v>
      </c>
      <c r="Q179" s="284">
        <v>0.44</v>
      </c>
      <c r="R179" s="284">
        <v>0.0</v>
      </c>
      <c r="S179" s="285">
        <v>0.0</v>
      </c>
      <c r="Z179" s="344"/>
      <c r="AA179" s="344"/>
      <c r="AB179" s="344"/>
      <c r="AC179" s="344"/>
      <c r="AD179" s="344"/>
      <c r="AE179" s="344"/>
      <c r="AF179" s="344"/>
      <c r="AG179" s="344"/>
      <c r="AH179" s="344"/>
      <c r="AI179" s="344"/>
      <c r="AV179" s="53"/>
      <c r="AW179" s="294">
        <f t="shared" si="11"/>
        <v>22.23</v>
      </c>
      <c r="AZ179" s="78">
        <f t="shared" si="12"/>
        <v>67.29</v>
      </c>
      <c r="BG179" s="57"/>
      <c r="BH179" s="79">
        <f t="shared" si="13"/>
        <v>10.48</v>
      </c>
      <c r="BL179" s="57"/>
      <c r="BR179" s="72">
        <v>20.58</v>
      </c>
      <c r="BS179" s="72">
        <v>1.65</v>
      </c>
      <c r="BT179" s="83">
        <f t="shared" si="14"/>
        <v>22.23</v>
      </c>
    </row>
    <row r="180" ht="12.0" customHeight="1">
      <c r="N180" s="281"/>
      <c r="O180" s="286" t="s">
        <v>244</v>
      </c>
      <c r="P180" s="283">
        <v>31028.0</v>
      </c>
      <c r="Q180" s="284">
        <v>0.35</v>
      </c>
      <c r="R180" s="284">
        <v>3.0</v>
      </c>
      <c r="S180" s="285">
        <v>0.68</v>
      </c>
      <c r="X180" s="344"/>
      <c r="Y180" s="344"/>
      <c r="Z180" s="344"/>
      <c r="AA180" s="345"/>
      <c r="AB180" s="345"/>
      <c r="AC180" s="345"/>
      <c r="AD180" s="345"/>
      <c r="AE180" s="344"/>
      <c r="AF180" s="344"/>
      <c r="AG180" s="344"/>
      <c r="AH180" s="344"/>
      <c r="AI180" s="50"/>
      <c r="AV180" s="53"/>
      <c r="AW180" s="294">
        <f t="shared" si="11"/>
        <v>34.1</v>
      </c>
      <c r="AZ180" s="78">
        <f t="shared" si="12"/>
        <v>56.83</v>
      </c>
      <c r="BG180" s="57"/>
      <c r="BH180" s="79">
        <f t="shared" si="13"/>
        <v>9.07</v>
      </c>
      <c r="BL180" s="57"/>
      <c r="BR180" s="72">
        <v>21.9</v>
      </c>
      <c r="BS180" s="72">
        <v>12.2</v>
      </c>
      <c r="BT180" s="83">
        <f t="shared" si="14"/>
        <v>34.1</v>
      </c>
    </row>
    <row r="181" ht="12.0" customHeight="1">
      <c r="N181" s="281"/>
      <c r="O181" s="284" t="s">
        <v>215</v>
      </c>
      <c r="P181" s="283">
        <v>29653.0</v>
      </c>
      <c r="Q181" s="284">
        <v>0.34</v>
      </c>
      <c r="R181" s="284">
        <v>0.0</v>
      </c>
      <c r="S181" s="285">
        <v>0.0</v>
      </c>
      <c r="U181" s="346">
        <v>444.0</v>
      </c>
      <c r="W181" s="347"/>
      <c r="X181" s="105"/>
      <c r="Y181" s="105"/>
      <c r="Z181" s="105"/>
      <c r="AA181" s="105"/>
      <c r="AB181" s="105"/>
      <c r="AC181" s="105"/>
      <c r="AD181" s="348"/>
      <c r="AV181" s="53"/>
      <c r="AW181" s="294">
        <f t="shared" si="11"/>
        <v>28.8</v>
      </c>
      <c r="AZ181" s="78">
        <f t="shared" si="12"/>
        <v>61.5</v>
      </c>
      <c r="BG181" s="57"/>
      <c r="BH181" s="79">
        <f t="shared" si="13"/>
        <v>9.7</v>
      </c>
      <c r="BL181" s="57"/>
      <c r="BR181" s="72">
        <v>14.1</v>
      </c>
      <c r="BS181" s="72">
        <v>14.7</v>
      </c>
      <c r="BT181" s="83">
        <f t="shared" si="14"/>
        <v>28.8</v>
      </c>
    </row>
    <row r="182" ht="12.0" customHeight="1">
      <c r="N182" s="281"/>
      <c r="O182" s="282" t="s">
        <v>216</v>
      </c>
      <c r="P182" s="283">
        <v>28900.0</v>
      </c>
      <c r="Q182" s="284">
        <v>0.33</v>
      </c>
      <c r="R182" s="284">
        <v>1.0</v>
      </c>
      <c r="S182" s="285">
        <v>0.23</v>
      </c>
      <c r="AV182" s="53"/>
      <c r="AW182" s="294">
        <f t="shared" si="11"/>
        <v>21.56</v>
      </c>
      <c r="AZ182" s="78">
        <f t="shared" si="12"/>
        <v>64.55</v>
      </c>
      <c r="BG182" s="57"/>
      <c r="BH182" s="79">
        <f t="shared" si="13"/>
        <v>13.89</v>
      </c>
      <c r="BL182" s="57"/>
      <c r="BR182" s="72">
        <v>3.96</v>
      </c>
      <c r="BS182" s="72">
        <v>17.6</v>
      </c>
      <c r="BT182" s="83">
        <f t="shared" si="14"/>
        <v>21.56</v>
      </c>
    </row>
    <row r="183" ht="12.0" customHeight="1">
      <c r="N183" s="281"/>
      <c r="O183" s="282" t="s">
        <v>217</v>
      </c>
      <c r="P183" s="283">
        <v>15409.0</v>
      </c>
      <c r="Q183" s="284">
        <v>0.18</v>
      </c>
      <c r="R183" s="284">
        <v>1.0</v>
      </c>
      <c r="S183" s="285">
        <v>0.23</v>
      </c>
      <c r="AV183" s="53"/>
      <c r="AW183" s="294">
        <f t="shared" si="11"/>
        <v>17.13</v>
      </c>
      <c r="AZ183" s="78">
        <f t="shared" si="12"/>
        <v>66.08</v>
      </c>
      <c r="BG183" s="57"/>
      <c r="BH183" s="79">
        <f t="shared" si="13"/>
        <v>16.79</v>
      </c>
      <c r="BL183" s="57"/>
      <c r="BR183" s="72">
        <v>7.12</v>
      </c>
      <c r="BS183" s="72">
        <v>10.01</v>
      </c>
      <c r="BT183" s="83">
        <f t="shared" si="14"/>
        <v>17.13</v>
      </c>
    </row>
    <row r="184" ht="12.0" customHeight="1">
      <c r="N184" s="281"/>
      <c r="O184" s="284" t="s">
        <v>218</v>
      </c>
      <c r="P184" s="283">
        <v>11871.0</v>
      </c>
      <c r="Q184" s="284">
        <v>0.14</v>
      </c>
      <c r="R184" s="284">
        <v>0.0</v>
      </c>
      <c r="S184" s="285">
        <v>0.0</v>
      </c>
      <c r="AV184" s="53"/>
      <c r="AW184" s="294">
        <f t="shared" si="11"/>
        <v>15.69</v>
      </c>
      <c r="AZ184" s="78">
        <f t="shared" si="12"/>
        <v>70.16</v>
      </c>
      <c r="BG184" s="57"/>
      <c r="BH184" s="79">
        <f t="shared" si="13"/>
        <v>0</v>
      </c>
      <c r="BL184" s="57"/>
      <c r="BR184" s="72">
        <v>14.31</v>
      </c>
      <c r="BS184" s="72">
        <v>1.38</v>
      </c>
      <c r="BT184" s="83">
        <f t="shared" si="14"/>
        <v>15.69</v>
      </c>
    </row>
    <row r="185" ht="12.0" customHeight="1">
      <c r="N185" s="281"/>
      <c r="O185" s="286" t="s">
        <v>245</v>
      </c>
      <c r="P185" s="283">
        <v>11864.0</v>
      </c>
      <c r="Q185" s="284">
        <v>0.14</v>
      </c>
      <c r="R185" s="284">
        <v>1.0</v>
      </c>
      <c r="S185" s="285">
        <v>0.23</v>
      </c>
      <c r="AV185" s="53"/>
      <c r="AW185" s="294">
        <f t="shared" si="11"/>
        <v>17.87</v>
      </c>
      <c r="AZ185" s="78">
        <f t="shared" si="12"/>
        <v>61.23</v>
      </c>
      <c r="BG185" s="57"/>
      <c r="BH185" s="79">
        <f t="shared" si="13"/>
        <v>20.9</v>
      </c>
      <c r="BL185" s="57"/>
      <c r="BR185" s="72">
        <v>16.39</v>
      </c>
      <c r="BS185" s="72">
        <v>1.48</v>
      </c>
      <c r="BT185" s="83">
        <f t="shared" si="14"/>
        <v>17.87</v>
      </c>
    </row>
    <row r="186" ht="12.0" customHeight="1">
      <c r="N186" s="289"/>
      <c r="O186" s="290" t="s">
        <v>220</v>
      </c>
      <c r="P186" s="291">
        <v>134869.0</v>
      </c>
      <c r="Q186" s="290">
        <v>1.54</v>
      </c>
      <c r="R186" s="290">
        <v>0.0</v>
      </c>
      <c r="S186" s="292">
        <v>0.0</v>
      </c>
      <c r="AV186" s="53"/>
      <c r="AW186" s="294">
        <f t="shared" si="11"/>
        <v>19.79</v>
      </c>
      <c r="AZ186" s="78">
        <f t="shared" si="12"/>
        <v>44.23</v>
      </c>
      <c r="BG186" s="57"/>
      <c r="BH186" s="79">
        <f t="shared" si="13"/>
        <v>15.08</v>
      </c>
      <c r="BL186" s="57"/>
      <c r="BR186" s="72">
        <v>18.11</v>
      </c>
      <c r="BS186" s="72">
        <v>1.68</v>
      </c>
      <c r="BT186" s="83">
        <f t="shared" si="14"/>
        <v>19.79</v>
      </c>
    </row>
    <row r="187" ht="12.0" customHeight="1">
      <c r="AV187" s="53"/>
      <c r="AW187" s="294">
        <f t="shared" si="11"/>
        <v>42.88</v>
      </c>
      <c r="AZ187" s="78">
        <f t="shared" si="12"/>
        <v>23.07</v>
      </c>
      <c r="BG187" s="57"/>
      <c r="BH187" s="79">
        <f t="shared" si="13"/>
        <v>34.05</v>
      </c>
      <c r="BL187" s="57"/>
      <c r="BR187" s="74">
        <v>42.88</v>
      </c>
      <c r="BS187" s="75">
        <v>0.0</v>
      </c>
      <c r="BT187" s="83">
        <f t="shared" si="14"/>
        <v>42.88</v>
      </c>
    </row>
    <row r="188" ht="12.0" customHeight="1">
      <c r="AV188" s="53"/>
      <c r="AW188" s="294">
        <f t="shared" si="11"/>
        <v>20.95</v>
      </c>
      <c r="AZ188" s="78">
        <f t="shared" si="12"/>
        <v>55.71</v>
      </c>
      <c r="BG188" s="57"/>
      <c r="BH188" s="79">
        <f t="shared" si="13"/>
        <v>23.34</v>
      </c>
      <c r="BL188" s="57"/>
      <c r="BR188" s="72">
        <v>15.41</v>
      </c>
      <c r="BS188" s="72">
        <v>5.54</v>
      </c>
      <c r="BT188" s="83">
        <f t="shared" si="14"/>
        <v>20.95</v>
      </c>
    </row>
    <row r="189" ht="12.0" customHeight="1">
      <c r="AV189" s="53"/>
      <c r="AW189" s="294">
        <f t="shared" si="11"/>
        <v>20.7</v>
      </c>
      <c r="AZ189" s="78">
        <f t="shared" si="12"/>
        <v>35.89</v>
      </c>
      <c r="BG189" s="57"/>
      <c r="BH189" s="79">
        <f t="shared" si="13"/>
        <v>25.4</v>
      </c>
      <c r="BL189" s="57"/>
      <c r="BR189" s="72">
        <v>20.7</v>
      </c>
      <c r="BS189" s="75">
        <v>0.0</v>
      </c>
      <c r="BT189" s="83">
        <f t="shared" si="14"/>
        <v>20.7</v>
      </c>
      <c r="DM189" s="349" t="s">
        <v>246</v>
      </c>
      <c r="DN189" s="2"/>
      <c r="DO189" s="2"/>
      <c r="DP189" s="2"/>
      <c r="DQ189" s="2"/>
      <c r="DR189" s="2"/>
      <c r="DS189" s="2"/>
      <c r="DT189" s="3"/>
      <c r="DX189" s="349" t="s">
        <v>247</v>
      </c>
      <c r="DY189" s="2"/>
      <c r="DZ189" s="2"/>
      <c r="EA189" s="3"/>
      <c r="EE189" s="349" t="s">
        <v>248</v>
      </c>
      <c r="EF189" s="2"/>
      <c r="EG189" s="3"/>
    </row>
    <row r="190" ht="12.0" customHeight="1">
      <c r="AV190" s="53"/>
      <c r="AW190" s="294">
        <f t="shared" si="11"/>
        <v>20.45</v>
      </c>
      <c r="AZ190" s="78">
        <f t="shared" si="12"/>
        <v>24.23</v>
      </c>
      <c r="BG190" s="57"/>
      <c r="BH190" s="79">
        <f t="shared" si="13"/>
        <v>22.42</v>
      </c>
      <c r="BL190" s="57"/>
      <c r="BR190" s="72">
        <v>20.45</v>
      </c>
      <c r="BS190" s="75">
        <v>0.0</v>
      </c>
      <c r="BT190" s="83">
        <f t="shared" si="14"/>
        <v>20.45</v>
      </c>
      <c r="DM190" s="121"/>
      <c r="DN190" s="115"/>
      <c r="DO190" s="115"/>
      <c r="DP190" s="115"/>
      <c r="DQ190" s="115"/>
      <c r="DR190" s="115"/>
      <c r="DS190" s="115"/>
      <c r="DT190" s="116"/>
      <c r="DX190" s="121"/>
      <c r="DY190" s="115"/>
      <c r="DZ190" s="115"/>
      <c r="EA190" s="116"/>
      <c r="EE190" s="121"/>
      <c r="EF190" s="115"/>
      <c r="EG190" s="116"/>
    </row>
    <row r="191" ht="12.0" customHeight="1">
      <c r="P191" s="350" t="s">
        <v>249</v>
      </c>
      <c r="Q191" s="2"/>
      <c r="R191" s="2"/>
      <c r="S191" s="3"/>
      <c r="V191" s="350" t="s">
        <v>250</v>
      </c>
      <c r="W191" s="2"/>
      <c r="X191" s="2"/>
      <c r="Y191" s="3"/>
      <c r="AB191" s="350" t="s">
        <v>251</v>
      </c>
      <c r="AC191" s="2"/>
      <c r="AD191" s="3"/>
      <c r="AV191" s="53"/>
      <c r="AW191" s="294">
        <f t="shared" si="11"/>
        <v>23.78</v>
      </c>
      <c r="AZ191" s="78">
        <f t="shared" si="12"/>
        <v>47.95</v>
      </c>
      <c r="BG191" s="57"/>
      <c r="BH191" s="79">
        <f t="shared" si="13"/>
        <v>28.27</v>
      </c>
      <c r="BL191" s="57"/>
      <c r="BR191" s="72">
        <v>23.78</v>
      </c>
      <c r="BS191" s="75">
        <v>0.0</v>
      </c>
      <c r="BT191" s="83">
        <f t="shared" si="14"/>
        <v>23.78</v>
      </c>
      <c r="DM191" s="351"/>
      <c r="DN191" s="352"/>
      <c r="DO191" s="353"/>
      <c r="DP191" s="354"/>
      <c r="DQ191" s="355"/>
      <c r="DR191" s="355"/>
      <c r="DS191" s="355"/>
      <c r="DT191" s="356"/>
      <c r="DX191" s="351"/>
      <c r="DY191" s="353"/>
      <c r="DZ191" s="357"/>
      <c r="EA191" s="354"/>
      <c r="EE191" s="358"/>
      <c r="EF191" s="353"/>
      <c r="EG191" s="357"/>
    </row>
    <row r="192" ht="12.0" customHeight="1">
      <c r="I192" s="41"/>
      <c r="J192" s="179" t="s">
        <v>179</v>
      </c>
      <c r="K192" s="359" t="s">
        <v>9</v>
      </c>
      <c r="L192" s="178" t="s">
        <v>191</v>
      </c>
      <c r="M192" s="178" t="s">
        <v>11</v>
      </c>
      <c r="P192" s="121"/>
      <c r="Q192" s="115"/>
      <c r="R192" s="115"/>
      <c r="S192" s="116"/>
      <c r="V192" s="121"/>
      <c r="W192" s="115"/>
      <c r="X192" s="115"/>
      <c r="Y192" s="116"/>
      <c r="AB192" s="121"/>
      <c r="AC192" s="115"/>
      <c r="AD192" s="116"/>
      <c r="AV192" s="53"/>
      <c r="AW192" s="294">
        <f t="shared" si="11"/>
        <v>28.1</v>
      </c>
      <c r="AZ192" s="78">
        <f t="shared" si="12"/>
        <v>42.35</v>
      </c>
      <c r="BG192" s="57"/>
      <c r="BH192" s="79">
        <f t="shared" si="13"/>
        <v>21.58</v>
      </c>
      <c r="BL192" s="57"/>
      <c r="BR192" s="72">
        <v>28.1</v>
      </c>
      <c r="BS192" s="75">
        <v>0.0</v>
      </c>
      <c r="BT192" s="83">
        <f t="shared" si="14"/>
        <v>28.1</v>
      </c>
      <c r="CM192" s="360">
        <v>41.99</v>
      </c>
      <c r="CN192" s="360">
        <v>12.59</v>
      </c>
      <c r="CO192" s="360">
        <v>0.0</v>
      </c>
      <c r="CP192" s="360">
        <v>0.0</v>
      </c>
      <c r="CQ192" s="360">
        <v>20.73</v>
      </c>
      <c r="CR192" s="360">
        <v>1.27</v>
      </c>
      <c r="CS192" s="360">
        <v>1.61</v>
      </c>
      <c r="CT192" s="360">
        <v>0.0</v>
      </c>
      <c r="CU192" s="360">
        <v>6.7</v>
      </c>
      <c r="CV192" s="360">
        <v>0.0</v>
      </c>
      <c r="CW192" s="360">
        <v>4.73</v>
      </c>
      <c r="CX192" s="360">
        <v>0.0</v>
      </c>
      <c r="CY192" s="360">
        <v>0.0</v>
      </c>
      <c r="CZ192" s="360">
        <v>5.78</v>
      </c>
      <c r="DA192" s="360">
        <v>4.6</v>
      </c>
      <c r="DL192" s="83">
        <v>1.0</v>
      </c>
      <c r="DM192" s="361">
        <v>41.99</v>
      </c>
      <c r="DN192" s="361">
        <v>12.59</v>
      </c>
      <c r="DO192" s="362">
        <v>33.43</v>
      </c>
      <c r="DP192" s="361">
        <v>1.61</v>
      </c>
      <c r="DQ192" s="361">
        <v>0.0</v>
      </c>
      <c r="DR192" s="361">
        <v>0.0</v>
      </c>
      <c r="DS192" s="361">
        <v>5.78</v>
      </c>
      <c r="DT192" s="361">
        <v>4.6</v>
      </c>
      <c r="DX192" s="363">
        <v>41.99</v>
      </c>
      <c r="DY192" s="362">
        <v>33.43</v>
      </c>
      <c r="DZ192" s="364">
        <v>22.97</v>
      </c>
      <c r="EA192" s="364">
        <v>1.61</v>
      </c>
      <c r="EE192" s="362">
        <v>43.6</v>
      </c>
      <c r="EF192" s="362">
        <v>33.43</v>
      </c>
      <c r="EG192" s="364">
        <v>22.97</v>
      </c>
    </row>
    <row r="193" ht="12.0" customHeight="1">
      <c r="I193" s="41"/>
      <c r="J193" s="365" t="s">
        <v>252</v>
      </c>
      <c r="K193" s="366" t="s">
        <v>31</v>
      </c>
      <c r="L193" s="185">
        <v>1.0</v>
      </c>
      <c r="M193" s="185">
        <v>14.0</v>
      </c>
      <c r="P193" s="365" t="s">
        <v>252</v>
      </c>
      <c r="Q193" s="366" t="s">
        <v>31</v>
      </c>
      <c r="R193" s="185">
        <v>1.0</v>
      </c>
      <c r="S193" s="185">
        <v>14.0</v>
      </c>
      <c r="V193" s="367" t="s">
        <v>253</v>
      </c>
      <c r="W193" s="366" t="s">
        <v>37</v>
      </c>
      <c r="X193" s="185">
        <v>3.0</v>
      </c>
      <c r="Y193" s="185">
        <v>4.0</v>
      </c>
      <c r="AB193" s="179" t="s">
        <v>254</v>
      </c>
      <c r="AC193" s="179" t="s">
        <v>255</v>
      </c>
      <c r="AD193" s="179" t="s">
        <v>11</v>
      </c>
      <c r="AV193" s="53"/>
      <c r="AW193" s="294">
        <f t="shared" si="11"/>
        <v>3.24</v>
      </c>
      <c r="AZ193" s="78">
        <f t="shared" si="12"/>
        <v>5.06</v>
      </c>
      <c r="BG193" s="57"/>
      <c r="BH193" s="79">
        <f t="shared" si="13"/>
        <v>91.7</v>
      </c>
      <c r="BL193" s="57"/>
      <c r="BR193" s="75">
        <v>0.0</v>
      </c>
      <c r="BS193" s="72">
        <v>3.24</v>
      </c>
      <c r="BT193" s="83">
        <f t="shared" si="14"/>
        <v>3.24</v>
      </c>
      <c r="CM193" s="360">
        <v>56.14</v>
      </c>
      <c r="CN193" s="360">
        <v>9.68</v>
      </c>
      <c r="CO193" s="360">
        <v>8.92</v>
      </c>
      <c r="CP193" s="360">
        <v>9.19</v>
      </c>
      <c r="CQ193" s="360">
        <v>11.49</v>
      </c>
      <c r="CR193" s="360">
        <v>0.0</v>
      </c>
      <c r="CS193" s="360">
        <v>1.64</v>
      </c>
      <c r="CT193" s="360">
        <v>0.0</v>
      </c>
      <c r="CU193" s="360">
        <v>1.13</v>
      </c>
      <c r="CV193" s="360">
        <v>0.03</v>
      </c>
      <c r="CW193" s="360">
        <v>0.84</v>
      </c>
      <c r="CX193" s="360">
        <v>0.0</v>
      </c>
      <c r="CY193" s="360">
        <v>0.0</v>
      </c>
      <c r="CZ193" s="360">
        <v>0.9</v>
      </c>
      <c r="DA193" s="360">
        <v>0.04</v>
      </c>
      <c r="DL193" s="83">
        <v>2.0</v>
      </c>
      <c r="DM193" s="361">
        <v>56.14</v>
      </c>
      <c r="DN193" s="361">
        <v>9.68</v>
      </c>
      <c r="DO193" s="362">
        <v>31.6</v>
      </c>
      <c r="DP193" s="361">
        <v>1.64</v>
      </c>
      <c r="DQ193" s="361">
        <v>0.0</v>
      </c>
      <c r="DR193" s="361">
        <v>0.0</v>
      </c>
      <c r="DS193" s="361">
        <v>0.9</v>
      </c>
      <c r="DT193" s="361">
        <v>0.04</v>
      </c>
      <c r="DX193" s="363">
        <v>56.14</v>
      </c>
      <c r="DY193" s="362">
        <v>31.6</v>
      </c>
      <c r="DZ193" s="364">
        <v>10.62</v>
      </c>
      <c r="EA193" s="361">
        <v>1.64</v>
      </c>
      <c r="EE193" s="362">
        <v>57.78</v>
      </c>
      <c r="EF193" s="362">
        <v>31.6</v>
      </c>
      <c r="EG193" s="364">
        <v>10.62</v>
      </c>
    </row>
    <row r="194" ht="12.0" customHeight="1">
      <c r="I194" s="41"/>
      <c r="J194" s="365" t="s">
        <v>252</v>
      </c>
      <c r="K194" s="366" t="s">
        <v>31</v>
      </c>
      <c r="L194" s="185">
        <v>2.0</v>
      </c>
      <c r="M194" s="185">
        <v>5.0</v>
      </c>
      <c r="P194" s="365" t="s">
        <v>252</v>
      </c>
      <c r="Q194" s="366" t="s">
        <v>31</v>
      </c>
      <c r="R194" s="185">
        <v>2.0</v>
      </c>
      <c r="S194" s="185">
        <v>5.0</v>
      </c>
      <c r="V194" s="367" t="s">
        <v>253</v>
      </c>
      <c r="W194" s="366" t="s">
        <v>39</v>
      </c>
      <c r="X194" s="185">
        <v>4.0</v>
      </c>
      <c r="Y194" s="185">
        <v>4.0</v>
      </c>
      <c r="AB194" s="151">
        <v>1.0</v>
      </c>
      <c r="AC194" s="151" t="s">
        <v>256</v>
      </c>
      <c r="AD194" s="151">
        <v>204.0</v>
      </c>
      <c r="AV194" s="53"/>
      <c r="AW194" s="294">
        <f t="shared" si="11"/>
        <v>5.02</v>
      </c>
      <c r="AZ194" s="78">
        <f t="shared" si="12"/>
        <v>5</v>
      </c>
      <c r="BG194" s="57"/>
      <c r="BH194" s="79">
        <f t="shared" si="13"/>
        <v>89.98</v>
      </c>
      <c r="BL194" s="57"/>
      <c r="BR194" s="72">
        <v>5.02</v>
      </c>
      <c r="BS194" s="75">
        <v>0.0</v>
      </c>
      <c r="BT194" s="83">
        <f t="shared" si="14"/>
        <v>5.02</v>
      </c>
      <c r="CM194" s="360">
        <v>54.98</v>
      </c>
      <c r="CN194" s="360">
        <v>7.94</v>
      </c>
      <c r="CO194" s="360">
        <v>10.84</v>
      </c>
      <c r="CP194" s="360">
        <v>10.5</v>
      </c>
      <c r="CQ194" s="360">
        <v>7.99</v>
      </c>
      <c r="CR194" s="360">
        <v>0.63</v>
      </c>
      <c r="CS194" s="360">
        <v>4.65</v>
      </c>
      <c r="CT194" s="360">
        <v>0.0</v>
      </c>
      <c r="CU194" s="360">
        <v>0.24</v>
      </c>
      <c r="CV194" s="360">
        <v>0.0</v>
      </c>
      <c r="CW194" s="360">
        <v>0.77</v>
      </c>
      <c r="CX194" s="360">
        <v>0.0</v>
      </c>
      <c r="CY194" s="360">
        <v>0.0</v>
      </c>
      <c r="CZ194" s="360">
        <v>0.41</v>
      </c>
      <c r="DA194" s="360">
        <v>1.05</v>
      </c>
      <c r="DL194" s="83">
        <v>3.0</v>
      </c>
      <c r="DM194" s="361">
        <v>54.98</v>
      </c>
      <c r="DN194" s="361">
        <v>7.94</v>
      </c>
      <c r="DO194" s="362">
        <v>30.969999999999995</v>
      </c>
      <c r="DP194" s="361">
        <v>4.65</v>
      </c>
      <c r="DQ194" s="361">
        <v>0.0</v>
      </c>
      <c r="DR194" s="361">
        <v>0.0</v>
      </c>
      <c r="DS194" s="361">
        <v>0.41</v>
      </c>
      <c r="DT194" s="361">
        <v>1.05</v>
      </c>
      <c r="DX194" s="363">
        <v>54.98</v>
      </c>
      <c r="DY194" s="362">
        <v>30.969999999999995</v>
      </c>
      <c r="DZ194" s="364">
        <v>9.4</v>
      </c>
      <c r="EA194" s="361">
        <v>4.65</v>
      </c>
      <c r="EE194" s="362">
        <v>59.629999999999995</v>
      </c>
      <c r="EF194" s="362">
        <v>30.969999999999995</v>
      </c>
      <c r="EG194" s="364">
        <v>9.4</v>
      </c>
    </row>
    <row r="195" ht="12.0" customHeight="1">
      <c r="I195" s="41"/>
      <c r="J195" s="367" t="s">
        <v>253</v>
      </c>
      <c r="K195" s="366" t="s">
        <v>37</v>
      </c>
      <c r="L195" s="185">
        <v>3.0</v>
      </c>
      <c r="M195" s="185">
        <v>4.0</v>
      </c>
      <c r="P195" s="365" t="s">
        <v>252</v>
      </c>
      <c r="Q195" s="366" t="s">
        <v>48</v>
      </c>
      <c r="R195" s="185">
        <v>8.0</v>
      </c>
      <c r="S195" s="185">
        <v>5.0</v>
      </c>
      <c r="V195" s="367" t="s">
        <v>253</v>
      </c>
      <c r="W195" s="366" t="s">
        <v>41</v>
      </c>
      <c r="X195" s="185">
        <v>5.0</v>
      </c>
      <c r="Y195" s="185">
        <v>6.0</v>
      </c>
      <c r="AB195" s="151">
        <v>2.0</v>
      </c>
      <c r="AC195" s="151" t="s">
        <v>257</v>
      </c>
      <c r="AD195" s="151">
        <v>168.0</v>
      </c>
      <c r="AV195" s="53"/>
      <c r="AW195" s="294">
        <f t="shared" si="11"/>
        <v>3.06</v>
      </c>
      <c r="AZ195" s="78">
        <f t="shared" si="12"/>
        <v>0.73</v>
      </c>
      <c r="BG195" s="57"/>
      <c r="BH195" s="79">
        <f t="shared" si="13"/>
        <v>96.21</v>
      </c>
      <c r="BL195" s="57"/>
      <c r="BR195" s="72">
        <v>3.06</v>
      </c>
      <c r="BS195" s="75">
        <v>0.0</v>
      </c>
      <c r="BT195" s="83">
        <f t="shared" si="14"/>
        <v>3.06</v>
      </c>
      <c r="CM195" s="360">
        <v>56.86</v>
      </c>
      <c r="CN195" s="360">
        <v>17.18</v>
      </c>
      <c r="CO195" s="360">
        <v>1.31</v>
      </c>
      <c r="CP195" s="360">
        <v>14.95</v>
      </c>
      <c r="CQ195" s="360">
        <v>3.68</v>
      </c>
      <c r="CR195" s="360">
        <v>0.12</v>
      </c>
      <c r="CS195" s="360">
        <v>2.75</v>
      </c>
      <c r="CT195" s="360">
        <v>0.0</v>
      </c>
      <c r="CU195" s="360">
        <v>0.0</v>
      </c>
      <c r="CV195" s="360">
        <v>0.78</v>
      </c>
      <c r="CW195" s="360">
        <v>0.74</v>
      </c>
      <c r="CX195" s="360">
        <v>0.0</v>
      </c>
      <c r="CY195" s="360">
        <v>0.0</v>
      </c>
      <c r="CZ195" s="360">
        <v>0.01</v>
      </c>
      <c r="DA195" s="360">
        <v>1.62</v>
      </c>
      <c r="DL195" s="83">
        <v>4.0</v>
      </c>
      <c r="DM195" s="361">
        <v>56.86</v>
      </c>
      <c r="DN195" s="361">
        <v>17.18</v>
      </c>
      <c r="DO195" s="362">
        <v>21.58</v>
      </c>
      <c r="DP195" s="361">
        <v>2.75</v>
      </c>
      <c r="DQ195" s="361">
        <v>0.0</v>
      </c>
      <c r="DR195" s="361">
        <v>0.0</v>
      </c>
      <c r="DS195" s="361">
        <v>0.01</v>
      </c>
      <c r="DT195" s="361">
        <v>1.62</v>
      </c>
      <c r="DX195" s="363">
        <v>56.86</v>
      </c>
      <c r="DY195" s="362">
        <v>21.58</v>
      </c>
      <c r="DZ195" s="364">
        <v>18.810000000000002</v>
      </c>
      <c r="EA195" s="361">
        <v>2.75</v>
      </c>
      <c r="EE195" s="362">
        <v>59.61</v>
      </c>
      <c r="EF195" s="362">
        <v>21.58</v>
      </c>
      <c r="EG195" s="364">
        <v>18.810000000000002</v>
      </c>
    </row>
    <row r="196" ht="12.0" customHeight="1">
      <c r="I196" s="41"/>
      <c r="J196" s="367" t="s">
        <v>253</v>
      </c>
      <c r="K196" s="366" t="s">
        <v>39</v>
      </c>
      <c r="L196" s="185">
        <v>4.0</v>
      </c>
      <c r="M196" s="185">
        <v>4.0</v>
      </c>
      <c r="P196" s="365" t="s">
        <v>252</v>
      </c>
      <c r="Q196" s="366" t="s">
        <v>50</v>
      </c>
      <c r="R196" s="185">
        <v>9.0</v>
      </c>
      <c r="S196" s="185">
        <v>5.0</v>
      </c>
      <c r="V196" s="367" t="s">
        <v>253</v>
      </c>
      <c r="W196" s="366" t="s">
        <v>43</v>
      </c>
      <c r="X196" s="185">
        <v>6.0</v>
      </c>
      <c r="Y196" s="185">
        <v>4.0</v>
      </c>
      <c r="AV196" s="53"/>
      <c r="AW196" s="294">
        <f t="shared" si="11"/>
        <v>0</v>
      </c>
      <c r="AZ196" s="78">
        <f t="shared" si="12"/>
        <v>40.39</v>
      </c>
      <c r="BG196" s="57"/>
      <c r="BH196" s="79">
        <f t="shared" si="13"/>
        <v>59.61</v>
      </c>
      <c r="BL196" s="57"/>
      <c r="BR196" s="75">
        <v>0.0</v>
      </c>
      <c r="BS196" s="75">
        <v>0.0</v>
      </c>
      <c r="BT196" s="83">
        <f t="shared" si="14"/>
        <v>0</v>
      </c>
      <c r="CM196" s="360">
        <v>22.9</v>
      </c>
      <c r="CN196" s="360">
        <v>23.81</v>
      </c>
      <c r="CO196" s="360">
        <v>14.6</v>
      </c>
      <c r="CP196" s="360">
        <v>2.72</v>
      </c>
      <c r="CQ196" s="360">
        <v>2.15</v>
      </c>
      <c r="CR196" s="360">
        <v>3.43</v>
      </c>
      <c r="CS196" s="360">
        <v>21.64</v>
      </c>
      <c r="CT196" s="360">
        <v>0.0</v>
      </c>
      <c r="CU196" s="360">
        <v>0.83</v>
      </c>
      <c r="CV196" s="360">
        <v>0.17</v>
      </c>
      <c r="CW196" s="360">
        <v>3.99</v>
      </c>
      <c r="CX196" s="360">
        <v>0.0</v>
      </c>
      <c r="CY196" s="360">
        <v>0.0</v>
      </c>
      <c r="CZ196" s="360">
        <v>0.46</v>
      </c>
      <c r="DA196" s="360">
        <v>3.3</v>
      </c>
      <c r="DL196" s="83">
        <v>5.0</v>
      </c>
      <c r="DM196" s="361">
        <v>22.9</v>
      </c>
      <c r="DN196" s="361">
        <v>23.81</v>
      </c>
      <c r="DO196" s="362">
        <v>27.89</v>
      </c>
      <c r="DP196" s="361">
        <v>21.64</v>
      </c>
      <c r="DQ196" s="361">
        <v>0.0</v>
      </c>
      <c r="DR196" s="361">
        <v>0.0</v>
      </c>
      <c r="DS196" s="361">
        <v>0.46</v>
      </c>
      <c r="DT196" s="361">
        <v>3.3</v>
      </c>
      <c r="DX196" s="361">
        <v>22.9</v>
      </c>
      <c r="DY196" s="362">
        <v>27.89</v>
      </c>
      <c r="DZ196" s="364">
        <v>27.57</v>
      </c>
      <c r="EA196" s="361">
        <v>21.64</v>
      </c>
      <c r="EE196" s="362">
        <v>44.54</v>
      </c>
      <c r="EF196" s="362">
        <v>27.89</v>
      </c>
      <c r="EG196" s="364">
        <v>27.57</v>
      </c>
    </row>
    <row r="197" ht="12.0" customHeight="1">
      <c r="I197" s="41"/>
      <c r="J197" s="367" t="s">
        <v>253</v>
      </c>
      <c r="K197" s="366" t="s">
        <v>41</v>
      </c>
      <c r="L197" s="185">
        <v>5.0</v>
      </c>
      <c r="M197" s="185">
        <v>6.0</v>
      </c>
      <c r="P197" s="365" t="s">
        <v>252</v>
      </c>
      <c r="Q197" s="366" t="s">
        <v>52</v>
      </c>
      <c r="R197" s="185">
        <v>10.0</v>
      </c>
      <c r="S197" s="185">
        <v>5.0</v>
      </c>
      <c r="V197" s="367" t="s">
        <v>253</v>
      </c>
      <c r="W197" s="366" t="s">
        <v>46</v>
      </c>
      <c r="X197" s="185">
        <v>7.0</v>
      </c>
      <c r="Y197" s="185">
        <v>4.0</v>
      </c>
      <c r="AV197" s="53"/>
      <c r="AW197" s="294">
        <f t="shared" si="11"/>
        <v>0</v>
      </c>
      <c r="AZ197" s="78">
        <f t="shared" si="12"/>
        <v>65.79</v>
      </c>
      <c r="BG197" s="57"/>
      <c r="BH197" s="79">
        <f t="shared" si="13"/>
        <v>34.21</v>
      </c>
      <c r="BL197" s="57"/>
      <c r="BR197" s="75">
        <v>0.0</v>
      </c>
      <c r="BS197" s="75">
        <v>0.0</v>
      </c>
      <c r="BT197" s="83">
        <f t="shared" si="14"/>
        <v>0</v>
      </c>
      <c r="CM197" s="360">
        <v>27.32</v>
      </c>
      <c r="CN197" s="360">
        <v>26.11</v>
      </c>
      <c r="CO197" s="360">
        <v>21.01</v>
      </c>
      <c r="CP197" s="360">
        <v>12.27</v>
      </c>
      <c r="CQ197" s="360">
        <v>2.82</v>
      </c>
      <c r="CR197" s="360">
        <v>1.1</v>
      </c>
      <c r="CS197" s="360">
        <v>3.37</v>
      </c>
      <c r="CT197" s="360">
        <v>0.0</v>
      </c>
      <c r="CU197" s="360">
        <v>4.32</v>
      </c>
      <c r="CV197" s="360">
        <v>0.0</v>
      </c>
      <c r="CW197" s="360">
        <v>0.49</v>
      </c>
      <c r="CX197" s="360">
        <v>0.0</v>
      </c>
      <c r="CY197" s="360">
        <v>0.0</v>
      </c>
      <c r="CZ197" s="360">
        <v>0.11</v>
      </c>
      <c r="DA197" s="360">
        <v>1.08</v>
      </c>
      <c r="DL197" s="83">
        <v>6.0</v>
      </c>
      <c r="DM197" s="361">
        <v>27.32</v>
      </c>
      <c r="DN197" s="361">
        <v>26.11</v>
      </c>
      <c r="DO197" s="362">
        <v>42.010000000000005</v>
      </c>
      <c r="DP197" s="361">
        <v>3.37</v>
      </c>
      <c r="DQ197" s="361">
        <v>0.0</v>
      </c>
      <c r="DR197" s="361">
        <v>0.0</v>
      </c>
      <c r="DS197" s="361">
        <v>0.11</v>
      </c>
      <c r="DT197" s="361">
        <v>1.08</v>
      </c>
      <c r="DX197" s="363">
        <v>27.32</v>
      </c>
      <c r="DY197" s="362">
        <v>42.010000000000005</v>
      </c>
      <c r="DZ197" s="364">
        <v>27.299999999999997</v>
      </c>
      <c r="EA197" s="361">
        <v>3.37</v>
      </c>
      <c r="EE197" s="362">
        <v>30.69</v>
      </c>
      <c r="EF197" s="362">
        <v>42.010000000000005</v>
      </c>
      <c r="EG197" s="364">
        <v>27.299999999999997</v>
      </c>
    </row>
    <row r="198" ht="12.0" customHeight="1">
      <c r="I198" s="41"/>
      <c r="J198" s="367" t="s">
        <v>253</v>
      </c>
      <c r="K198" s="366" t="s">
        <v>43</v>
      </c>
      <c r="L198" s="185">
        <v>6.0</v>
      </c>
      <c r="M198" s="185">
        <v>4.0</v>
      </c>
      <c r="P198" s="365" t="s">
        <v>252</v>
      </c>
      <c r="Q198" s="366" t="s">
        <v>54</v>
      </c>
      <c r="R198" s="185">
        <v>11.0</v>
      </c>
      <c r="S198" s="185">
        <v>5.0</v>
      </c>
      <c r="V198" s="367" t="s">
        <v>253</v>
      </c>
      <c r="W198" s="366" t="s">
        <v>82</v>
      </c>
      <c r="X198" s="185">
        <v>24.0</v>
      </c>
      <c r="Y198" s="185">
        <v>6.0</v>
      </c>
      <c r="AB198" s="350" t="s">
        <v>258</v>
      </c>
      <c r="AC198" s="2"/>
      <c r="AD198" s="3"/>
      <c r="AV198" s="53"/>
      <c r="AW198" s="294">
        <f t="shared" si="11"/>
        <v>5.5</v>
      </c>
      <c r="AZ198" s="78">
        <f t="shared" si="12"/>
        <v>32.33</v>
      </c>
      <c r="BG198" s="57"/>
      <c r="BH198" s="79">
        <f t="shared" si="13"/>
        <v>62.17</v>
      </c>
      <c r="BL198" s="57"/>
      <c r="BR198" s="75">
        <v>0.0</v>
      </c>
      <c r="BS198" s="72">
        <v>5.5</v>
      </c>
      <c r="BT198" s="83">
        <f t="shared" si="14"/>
        <v>5.5</v>
      </c>
      <c r="CM198" s="360">
        <v>56.06</v>
      </c>
      <c r="CN198" s="360">
        <v>10.7</v>
      </c>
      <c r="CO198" s="360">
        <v>7.15</v>
      </c>
      <c r="CP198" s="360">
        <v>13.2</v>
      </c>
      <c r="CQ198" s="360">
        <v>6.72</v>
      </c>
      <c r="CR198" s="360">
        <v>0.0</v>
      </c>
      <c r="CS198" s="360">
        <v>3.84</v>
      </c>
      <c r="CT198" s="360">
        <v>0.0</v>
      </c>
      <c r="CU198" s="360">
        <v>0.0</v>
      </c>
      <c r="CV198" s="360">
        <v>1.23</v>
      </c>
      <c r="CW198" s="360">
        <v>0.44</v>
      </c>
      <c r="CX198" s="360">
        <v>0.0</v>
      </c>
      <c r="CY198" s="360">
        <v>0.0</v>
      </c>
      <c r="CZ198" s="360">
        <v>0.12</v>
      </c>
      <c r="DA198" s="360">
        <v>0.54</v>
      </c>
      <c r="DL198" s="83">
        <v>7.0</v>
      </c>
      <c r="DM198" s="361">
        <v>56.06</v>
      </c>
      <c r="DN198" s="361">
        <v>10.7</v>
      </c>
      <c r="DO198" s="362">
        <v>28.740000000000002</v>
      </c>
      <c r="DP198" s="361">
        <v>3.84</v>
      </c>
      <c r="DQ198" s="361">
        <v>0.0</v>
      </c>
      <c r="DR198" s="361">
        <v>0.0</v>
      </c>
      <c r="DS198" s="361">
        <v>0.12</v>
      </c>
      <c r="DT198" s="361">
        <v>0.54</v>
      </c>
      <c r="DX198" s="363">
        <v>56.06</v>
      </c>
      <c r="DY198" s="362">
        <v>28.740000000000002</v>
      </c>
      <c r="DZ198" s="364">
        <v>11.36</v>
      </c>
      <c r="EA198" s="361">
        <v>3.84</v>
      </c>
      <c r="EE198" s="362">
        <v>59.900000000000006</v>
      </c>
      <c r="EF198" s="362">
        <v>28.740000000000002</v>
      </c>
      <c r="EG198" s="364">
        <v>11.36</v>
      </c>
    </row>
    <row r="199" ht="12.0" customHeight="1">
      <c r="I199" s="41"/>
      <c r="J199" s="367" t="s">
        <v>253</v>
      </c>
      <c r="K199" s="366" t="s">
        <v>46</v>
      </c>
      <c r="L199" s="185">
        <v>7.0</v>
      </c>
      <c r="M199" s="185">
        <v>4.0</v>
      </c>
      <c r="P199" s="365" t="s">
        <v>252</v>
      </c>
      <c r="Q199" s="366" t="s">
        <v>56</v>
      </c>
      <c r="R199" s="185">
        <v>12.0</v>
      </c>
      <c r="S199" s="185">
        <v>6.0</v>
      </c>
      <c r="V199" s="367" t="s">
        <v>253</v>
      </c>
      <c r="W199" s="366" t="s">
        <v>84</v>
      </c>
      <c r="X199" s="185">
        <v>25.0</v>
      </c>
      <c r="Y199" s="185">
        <v>4.0</v>
      </c>
      <c r="AB199" s="121"/>
      <c r="AC199" s="115"/>
      <c r="AD199" s="116"/>
      <c r="AV199" s="53"/>
      <c r="AW199" s="294">
        <f t="shared" si="11"/>
        <v>12</v>
      </c>
      <c r="AZ199" s="78">
        <f t="shared" si="12"/>
        <v>59.81</v>
      </c>
      <c r="BG199" s="57"/>
      <c r="BH199" s="79">
        <f t="shared" si="13"/>
        <v>28.19</v>
      </c>
      <c r="BL199" s="57"/>
      <c r="BR199" s="72">
        <v>12.0</v>
      </c>
      <c r="BS199" s="75">
        <v>0.0</v>
      </c>
      <c r="BT199" s="83">
        <f t="shared" si="14"/>
        <v>12</v>
      </c>
      <c r="CM199" s="360">
        <v>55.18</v>
      </c>
      <c r="CN199" s="360">
        <v>9.27</v>
      </c>
      <c r="CO199" s="360">
        <v>6.05</v>
      </c>
      <c r="CP199" s="360">
        <v>13.89</v>
      </c>
      <c r="CQ199" s="360">
        <v>10.72</v>
      </c>
      <c r="CR199" s="360">
        <v>0.24</v>
      </c>
      <c r="CS199" s="360">
        <v>2.99</v>
      </c>
      <c r="CT199" s="360">
        <v>0.0</v>
      </c>
      <c r="CU199" s="360">
        <v>0.47</v>
      </c>
      <c r="CV199" s="360">
        <v>0.67</v>
      </c>
      <c r="CW199" s="360">
        <v>0.52</v>
      </c>
      <c r="CX199" s="360">
        <v>0.0</v>
      </c>
      <c r="CY199" s="360">
        <v>0.0</v>
      </c>
      <c r="CZ199" s="360">
        <v>0.0</v>
      </c>
      <c r="DA199" s="360">
        <v>0.0</v>
      </c>
      <c r="DL199" s="83">
        <v>8.0</v>
      </c>
      <c r="DM199" s="361">
        <v>55.18</v>
      </c>
      <c r="DN199" s="361">
        <v>9.27</v>
      </c>
      <c r="DO199" s="362">
        <v>32.56</v>
      </c>
      <c r="DP199" s="361">
        <v>2.99</v>
      </c>
      <c r="DQ199" s="361">
        <v>0.0</v>
      </c>
      <c r="DR199" s="361">
        <v>0.0</v>
      </c>
      <c r="DS199" s="361">
        <v>0.0</v>
      </c>
      <c r="DT199" s="361">
        <v>0.0</v>
      </c>
      <c r="DX199" s="363">
        <v>55.18</v>
      </c>
      <c r="DY199" s="362">
        <v>32.56</v>
      </c>
      <c r="DZ199" s="364">
        <v>9.27</v>
      </c>
      <c r="EA199" s="361">
        <v>2.99</v>
      </c>
      <c r="EE199" s="362">
        <v>58.17</v>
      </c>
      <c r="EF199" s="362">
        <v>32.56</v>
      </c>
      <c r="EG199" s="364">
        <v>9.27</v>
      </c>
    </row>
    <row r="200" ht="12.0" customHeight="1">
      <c r="I200" s="41"/>
      <c r="J200" s="365" t="s">
        <v>252</v>
      </c>
      <c r="K200" s="366" t="s">
        <v>48</v>
      </c>
      <c r="L200" s="185">
        <v>8.0</v>
      </c>
      <c r="M200" s="185">
        <v>5.0</v>
      </c>
      <c r="P200" s="365" t="s">
        <v>252</v>
      </c>
      <c r="Q200" s="366" t="s">
        <v>58</v>
      </c>
      <c r="R200" s="185">
        <v>13.0</v>
      </c>
      <c r="S200" s="185">
        <v>7.0</v>
      </c>
      <c r="V200" s="367" t="s">
        <v>253</v>
      </c>
      <c r="W200" s="366" t="s">
        <v>86</v>
      </c>
      <c r="X200" s="185">
        <v>26.0</v>
      </c>
      <c r="Y200" s="185">
        <v>6.0</v>
      </c>
      <c r="AB200" s="179" t="s">
        <v>254</v>
      </c>
      <c r="AC200" s="179" t="s">
        <v>255</v>
      </c>
      <c r="AD200" s="179" t="s">
        <v>11</v>
      </c>
      <c r="AV200" s="53"/>
      <c r="AW200" s="294">
        <f t="shared" si="11"/>
        <v>30.52</v>
      </c>
      <c r="AZ200" s="78">
        <f t="shared" si="12"/>
        <v>43.52</v>
      </c>
      <c r="BG200" s="57"/>
      <c r="BH200" s="79">
        <f t="shared" si="13"/>
        <v>25.96</v>
      </c>
      <c r="BL200" s="57"/>
      <c r="BR200" s="74">
        <v>30.52</v>
      </c>
      <c r="BS200" s="75">
        <v>0.0</v>
      </c>
      <c r="BT200" s="83">
        <f t="shared" si="14"/>
        <v>30.52</v>
      </c>
      <c r="CM200" s="360">
        <v>46.91</v>
      </c>
      <c r="CN200" s="360">
        <v>12.95</v>
      </c>
      <c r="CO200" s="360">
        <v>5.0</v>
      </c>
      <c r="CP200" s="360">
        <v>13.27</v>
      </c>
      <c r="CQ200" s="360">
        <v>18.36</v>
      </c>
      <c r="CR200" s="360">
        <v>0.16</v>
      </c>
      <c r="CS200" s="360">
        <v>1.33</v>
      </c>
      <c r="CT200" s="360">
        <v>0.0</v>
      </c>
      <c r="CU200" s="360">
        <v>0.79</v>
      </c>
      <c r="CV200" s="360">
        <v>0.0</v>
      </c>
      <c r="CW200" s="360">
        <v>0.45</v>
      </c>
      <c r="CX200" s="360">
        <v>0.0</v>
      </c>
      <c r="CY200" s="360">
        <v>0.0</v>
      </c>
      <c r="CZ200" s="360">
        <v>0.0</v>
      </c>
      <c r="DA200" s="360">
        <v>0.78</v>
      </c>
      <c r="DL200" s="83">
        <v>9.0</v>
      </c>
      <c r="DM200" s="361">
        <v>46.91</v>
      </c>
      <c r="DN200" s="361">
        <v>12.95</v>
      </c>
      <c r="DO200" s="362">
        <v>38.029999999999994</v>
      </c>
      <c r="DP200" s="361">
        <v>1.33</v>
      </c>
      <c r="DQ200" s="361">
        <v>0.0</v>
      </c>
      <c r="DR200" s="361">
        <v>0.0</v>
      </c>
      <c r="DS200" s="361">
        <v>0.0</v>
      </c>
      <c r="DT200" s="361">
        <v>0.78</v>
      </c>
      <c r="DX200" s="363">
        <v>46.91</v>
      </c>
      <c r="DY200" s="362">
        <v>38.029999999999994</v>
      </c>
      <c r="DZ200" s="364">
        <v>13.729999999999999</v>
      </c>
      <c r="EA200" s="361">
        <v>1.33</v>
      </c>
      <c r="EE200" s="362">
        <v>48.239999999999995</v>
      </c>
      <c r="EF200" s="362">
        <v>38.029999999999994</v>
      </c>
      <c r="EG200" s="364">
        <v>13.729999999999999</v>
      </c>
    </row>
    <row r="201" ht="12.0" customHeight="1">
      <c r="I201" s="41"/>
      <c r="J201" s="365" t="s">
        <v>252</v>
      </c>
      <c r="K201" s="366" t="s">
        <v>50</v>
      </c>
      <c r="L201" s="185">
        <v>9.0</v>
      </c>
      <c r="M201" s="185">
        <v>5.0</v>
      </c>
      <c r="P201" s="365" t="s">
        <v>252</v>
      </c>
      <c r="Q201" s="366" t="s">
        <v>58</v>
      </c>
      <c r="R201" s="185">
        <v>14.0</v>
      </c>
      <c r="S201" s="185">
        <v>6.0</v>
      </c>
      <c r="V201" s="367" t="s">
        <v>253</v>
      </c>
      <c r="W201" s="366" t="s">
        <v>88</v>
      </c>
      <c r="X201" s="185">
        <v>27.0</v>
      </c>
      <c r="Y201" s="185">
        <v>5.0</v>
      </c>
      <c r="AB201" s="151">
        <v>1.0</v>
      </c>
      <c r="AC201" s="151" t="s">
        <v>179</v>
      </c>
      <c r="AD201" s="151">
        <v>372.0</v>
      </c>
      <c r="AE201" s="368" t="s">
        <v>259</v>
      </c>
      <c r="AF201" s="83" t="s">
        <v>260</v>
      </c>
      <c r="AV201" s="111"/>
      <c r="AW201" s="369">
        <f t="shared" si="11"/>
        <v>9.05</v>
      </c>
      <c r="AX201" s="115"/>
      <c r="AY201" s="115"/>
      <c r="AZ201" s="114">
        <f t="shared" si="12"/>
        <v>51.52</v>
      </c>
      <c r="BA201" s="115"/>
      <c r="BB201" s="115"/>
      <c r="BC201" s="115"/>
      <c r="BD201" s="115"/>
      <c r="BE201" s="115"/>
      <c r="BF201" s="115"/>
      <c r="BG201" s="116"/>
      <c r="BH201" s="117">
        <f t="shared" si="13"/>
        <v>39.43</v>
      </c>
      <c r="BI201" s="115"/>
      <c r="BJ201" s="115"/>
      <c r="BK201" s="115"/>
      <c r="BL201" s="116"/>
      <c r="BR201" s="75">
        <v>0.0</v>
      </c>
      <c r="BS201" s="72">
        <v>9.05</v>
      </c>
      <c r="BT201" s="83">
        <f t="shared" si="14"/>
        <v>9.05</v>
      </c>
      <c r="CM201" s="360">
        <v>40.59</v>
      </c>
      <c r="CN201" s="360">
        <v>15.53</v>
      </c>
      <c r="CO201" s="360">
        <v>3.26</v>
      </c>
      <c r="CP201" s="360">
        <v>16.34</v>
      </c>
      <c r="CQ201" s="360">
        <v>16.85</v>
      </c>
      <c r="CR201" s="360">
        <v>0.47</v>
      </c>
      <c r="CS201" s="360">
        <v>5.47</v>
      </c>
      <c r="CT201" s="360">
        <v>0.0</v>
      </c>
      <c r="CU201" s="360">
        <v>0.0</v>
      </c>
      <c r="CV201" s="360">
        <v>0.03</v>
      </c>
      <c r="CW201" s="360">
        <v>0.95</v>
      </c>
      <c r="CX201" s="360">
        <v>0.0</v>
      </c>
      <c r="CY201" s="360">
        <v>0.0</v>
      </c>
      <c r="CZ201" s="360">
        <v>0.11</v>
      </c>
      <c r="DA201" s="360">
        <v>0.4</v>
      </c>
      <c r="DL201" s="83">
        <v>10.0</v>
      </c>
      <c r="DM201" s="361">
        <v>40.59</v>
      </c>
      <c r="DN201" s="361">
        <v>15.53</v>
      </c>
      <c r="DO201" s="362">
        <v>37.900000000000006</v>
      </c>
      <c r="DP201" s="361">
        <v>5.47</v>
      </c>
      <c r="DQ201" s="361">
        <v>0.0</v>
      </c>
      <c r="DR201" s="361">
        <v>0.0</v>
      </c>
      <c r="DS201" s="361">
        <v>0.11</v>
      </c>
      <c r="DT201" s="361">
        <v>0.4</v>
      </c>
      <c r="DX201" s="363">
        <v>40.59</v>
      </c>
      <c r="DY201" s="362">
        <v>37.900000000000006</v>
      </c>
      <c r="DZ201" s="364">
        <v>16.04</v>
      </c>
      <c r="EA201" s="361">
        <v>5.47</v>
      </c>
      <c r="EE201" s="362">
        <v>46.06</v>
      </c>
      <c r="EF201" s="362">
        <v>37.900000000000006</v>
      </c>
      <c r="EG201" s="364">
        <v>16.04</v>
      </c>
    </row>
    <row r="202" ht="12.0" customHeight="1">
      <c r="I202" s="41"/>
      <c r="J202" s="365" t="s">
        <v>252</v>
      </c>
      <c r="K202" s="366" t="s">
        <v>52</v>
      </c>
      <c r="L202" s="185">
        <v>10.0</v>
      </c>
      <c r="M202" s="185">
        <v>5.0</v>
      </c>
      <c r="P202" s="365" t="s">
        <v>252</v>
      </c>
      <c r="Q202" s="366" t="s">
        <v>63</v>
      </c>
      <c r="R202" s="185">
        <v>15.0</v>
      </c>
      <c r="S202" s="185">
        <v>6.0</v>
      </c>
      <c r="V202" s="367" t="s">
        <v>253</v>
      </c>
      <c r="W202" s="366" t="s">
        <v>90</v>
      </c>
      <c r="X202" s="185">
        <v>28.0</v>
      </c>
      <c r="Y202" s="185">
        <v>5.0</v>
      </c>
      <c r="AB202" s="41"/>
      <c r="AC202" s="41"/>
      <c r="AD202" s="41"/>
      <c r="CM202" s="360">
        <v>34.79</v>
      </c>
      <c r="CN202" s="360">
        <v>10.2</v>
      </c>
      <c r="CO202" s="360">
        <v>22.8</v>
      </c>
      <c r="CP202" s="360">
        <v>10.21</v>
      </c>
      <c r="CQ202" s="360">
        <v>17.69</v>
      </c>
      <c r="CR202" s="360">
        <v>0.48</v>
      </c>
      <c r="CS202" s="360">
        <v>1.08</v>
      </c>
      <c r="CT202" s="360">
        <v>0.0</v>
      </c>
      <c r="CU202" s="360">
        <v>0.72</v>
      </c>
      <c r="CV202" s="360">
        <v>0.66</v>
      </c>
      <c r="CW202" s="360">
        <v>0.84</v>
      </c>
      <c r="CX202" s="360">
        <v>0.0</v>
      </c>
      <c r="CY202" s="360">
        <v>0.0</v>
      </c>
      <c r="CZ202" s="360">
        <v>0.3</v>
      </c>
      <c r="DA202" s="360">
        <v>0.23</v>
      </c>
      <c r="DL202" s="83">
        <v>11.0</v>
      </c>
      <c r="DM202" s="361">
        <v>34.79</v>
      </c>
      <c r="DN202" s="361">
        <v>10.2</v>
      </c>
      <c r="DO202" s="362">
        <v>53.4</v>
      </c>
      <c r="DP202" s="361">
        <v>1.08</v>
      </c>
      <c r="DQ202" s="361">
        <v>0.0</v>
      </c>
      <c r="DR202" s="361">
        <v>0.0</v>
      </c>
      <c r="DS202" s="361">
        <v>0.3</v>
      </c>
      <c r="DT202" s="361">
        <v>0.23</v>
      </c>
      <c r="DX202" s="363">
        <v>34.79</v>
      </c>
      <c r="DY202" s="362">
        <v>53.4</v>
      </c>
      <c r="DZ202" s="364">
        <v>10.73</v>
      </c>
      <c r="EA202" s="361">
        <v>1.08</v>
      </c>
      <c r="EE202" s="362">
        <v>35.87</v>
      </c>
      <c r="EF202" s="362">
        <v>53.4</v>
      </c>
      <c r="EG202" s="364">
        <v>10.73</v>
      </c>
    </row>
    <row r="203" ht="12.0" customHeight="1">
      <c r="I203" s="41"/>
      <c r="J203" s="365" t="s">
        <v>252</v>
      </c>
      <c r="K203" s="366" t="s">
        <v>54</v>
      </c>
      <c r="L203" s="185">
        <v>11.0</v>
      </c>
      <c r="M203" s="185">
        <v>5.0</v>
      </c>
      <c r="P203" s="365" t="s">
        <v>252</v>
      </c>
      <c r="Q203" s="366" t="s">
        <v>65</v>
      </c>
      <c r="R203" s="185">
        <v>16.0</v>
      </c>
      <c r="S203" s="185">
        <v>7.0</v>
      </c>
      <c r="V203" s="367" t="s">
        <v>253</v>
      </c>
      <c r="W203" s="366" t="s">
        <v>127</v>
      </c>
      <c r="X203" s="185">
        <v>46.0</v>
      </c>
      <c r="Y203" s="185">
        <v>6.0</v>
      </c>
      <c r="CM203" s="360">
        <v>34.64</v>
      </c>
      <c r="CN203" s="360">
        <v>8.91</v>
      </c>
      <c r="CO203" s="360">
        <v>12.49</v>
      </c>
      <c r="CP203" s="360">
        <v>19.57</v>
      </c>
      <c r="CQ203" s="360">
        <v>17.98</v>
      </c>
      <c r="CR203" s="360">
        <v>1.28</v>
      </c>
      <c r="CS203" s="360">
        <v>1.29</v>
      </c>
      <c r="CT203" s="360">
        <v>0.0</v>
      </c>
      <c r="CU203" s="360">
        <v>1.41</v>
      </c>
      <c r="CV203" s="360">
        <v>0.0</v>
      </c>
      <c r="CW203" s="360">
        <v>0.89</v>
      </c>
      <c r="CX203" s="360">
        <v>0.0</v>
      </c>
      <c r="CY203" s="360">
        <v>0.0</v>
      </c>
      <c r="CZ203" s="360">
        <v>0.53</v>
      </c>
      <c r="DA203" s="360">
        <v>1.01</v>
      </c>
      <c r="DL203" s="83">
        <v>12.0</v>
      </c>
      <c r="DM203" s="361">
        <v>34.64</v>
      </c>
      <c r="DN203" s="361">
        <v>8.91</v>
      </c>
      <c r="DO203" s="362">
        <v>53.620000000000005</v>
      </c>
      <c r="DP203" s="361">
        <v>1.29</v>
      </c>
      <c r="DQ203" s="361">
        <v>0.0</v>
      </c>
      <c r="DR203" s="361">
        <v>0.0</v>
      </c>
      <c r="DS203" s="361">
        <v>0.53</v>
      </c>
      <c r="DT203" s="361">
        <v>1.01</v>
      </c>
      <c r="DX203" s="363">
        <v>34.64</v>
      </c>
      <c r="DY203" s="362">
        <v>53.620000000000005</v>
      </c>
      <c r="DZ203" s="364">
        <v>10.45</v>
      </c>
      <c r="EA203" s="361">
        <v>1.29</v>
      </c>
      <c r="EE203" s="362">
        <v>35.93</v>
      </c>
      <c r="EF203" s="362">
        <v>53.620000000000005</v>
      </c>
      <c r="EG203" s="364">
        <v>10.45</v>
      </c>
    </row>
    <row r="204" ht="12.0" customHeight="1">
      <c r="I204" s="41"/>
      <c r="J204" s="365" t="s">
        <v>252</v>
      </c>
      <c r="K204" s="366" t="s">
        <v>56</v>
      </c>
      <c r="L204" s="185">
        <v>12.0</v>
      </c>
      <c r="M204" s="185">
        <v>6.0</v>
      </c>
      <c r="P204" s="365" t="s">
        <v>252</v>
      </c>
      <c r="Q204" s="366" t="s">
        <v>67</v>
      </c>
      <c r="R204" s="185">
        <v>17.0</v>
      </c>
      <c r="S204" s="185">
        <v>6.0</v>
      </c>
      <c r="V204" s="367" t="s">
        <v>253</v>
      </c>
      <c r="W204" s="366" t="s">
        <v>129</v>
      </c>
      <c r="X204" s="185">
        <v>47.0</v>
      </c>
      <c r="Y204" s="185">
        <v>7.0</v>
      </c>
      <c r="CM204" s="360">
        <v>28.01</v>
      </c>
      <c r="CN204" s="360">
        <v>26.96</v>
      </c>
      <c r="CO204" s="360">
        <v>0.0</v>
      </c>
      <c r="CP204" s="360">
        <v>0.0</v>
      </c>
      <c r="CQ204" s="360">
        <v>8.65</v>
      </c>
      <c r="CR204" s="360">
        <v>19.59</v>
      </c>
      <c r="CS204" s="360">
        <v>0.0</v>
      </c>
      <c r="CT204" s="360">
        <v>0.0</v>
      </c>
      <c r="CU204" s="360">
        <v>6.3</v>
      </c>
      <c r="CV204" s="360">
        <v>0.0</v>
      </c>
      <c r="CW204" s="360">
        <v>5.6</v>
      </c>
      <c r="CX204" s="360">
        <v>0.0</v>
      </c>
      <c r="CY204" s="360">
        <v>0.0</v>
      </c>
      <c r="CZ204" s="360">
        <v>2.15</v>
      </c>
      <c r="DA204" s="360">
        <v>2.74</v>
      </c>
      <c r="DL204" s="83">
        <v>13.0</v>
      </c>
      <c r="DM204" s="361">
        <v>28.01</v>
      </c>
      <c r="DN204" s="361">
        <v>26.96</v>
      </c>
      <c r="DO204" s="362">
        <v>40.14</v>
      </c>
      <c r="DP204" s="361">
        <v>0.0</v>
      </c>
      <c r="DQ204" s="361">
        <v>0.0</v>
      </c>
      <c r="DR204" s="361">
        <v>0.0</v>
      </c>
      <c r="DS204" s="361">
        <v>2.15</v>
      </c>
      <c r="DT204" s="361">
        <v>2.74</v>
      </c>
      <c r="DX204" s="363">
        <v>28.01</v>
      </c>
      <c r="DY204" s="362">
        <v>40.14</v>
      </c>
      <c r="DZ204" s="364">
        <v>31.85</v>
      </c>
      <c r="EA204" s="361">
        <v>0.0</v>
      </c>
      <c r="EE204" s="362">
        <v>28.01</v>
      </c>
      <c r="EF204" s="362">
        <v>40.14</v>
      </c>
      <c r="EG204" s="364">
        <v>31.85</v>
      </c>
    </row>
    <row r="205" ht="12.0" customHeight="1">
      <c r="I205" s="41"/>
      <c r="J205" s="365" t="s">
        <v>252</v>
      </c>
      <c r="K205" s="366" t="s">
        <v>58</v>
      </c>
      <c r="L205" s="185">
        <v>13.0</v>
      </c>
      <c r="M205" s="185">
        <v>7.0</v>
      </c>
      <c r="P205" s="365" t="s">
        <v>252</v>
      </c>
      <c r="Q205" s="366" t="s">
        <v>69</v>
      </c>
      <c r="R205" s="185">
        <v>18.0</v>
      </c>
      <c r="S205" s="185">
        <v>5.0</v>
      </c>
      <c r="V205" s="367" t="s">
        <v>253</v>
      </c>
      <c r="W205" s="366" t="s">
        <v>134</v>
      </c>
      <c r="X205" s="185">
        <v>48.0</v>
      </c>
      <c r="Y205" s="185">
        <v>6.0</v>
      </c>
      <c r="CM205" s="360">
        <v>36.0</v>
      </c>
      <c r="CN205" s="360">
        <v>19.16</v>
      </c>
      <c r="CO205" s="360">
        <v>16.04</v>
      </c>
      <c r="CP205" s="360">
        <v>10.56</v>
      </c>
      <c r="CQ205" s="360">
        <v>8.74</v>
      </c>
      <c r="CR205" s="360">
        <v>6.54</v>
      </c>
      <c r="CS205" s="360">
        <v>0.92</v>
      </c>
      <c r="CT205" s="360">
        <v>0.0</v>
      </c>
      <c r="CU205" s="360">
        <v>0.98</v>
      </c>
      <c r="CV205" s="360">
        <v>0.0</v>
      </c>
      <c r="CW205" s="360">
        <v>0.32</v>
      </c>
      <c r="CX205" s="360">
        <v>0.0</v>
      </c>
      <c r="CY205" s="360">
        <v>0.0</v>
      </c>
      <c r="CZ205" s="360">
        <v>0.0</v>
      </c>
      <c r="DA205" s="360">
        <v>0.74</v>
      </c>
      <c r="DL205" s="83">
        <v>14.0</v>
      </c>
      <c r="DM205" s="361">
        <v>36.0</v>
      </c>
      <c r="DN205" s="361">
        <v>19.16</v>
      </c>
      <c r="DO205" s="362">
        <v>43.18</v>
      </c>
      <c r="DP205" s="361">
        <v>0.92</v>
      </c>
      <c r="DQ205" s="361">
        <v>0.0</v>
      </c>
      <c r="DR205" s="361">
        <v>0.0</v>
      </c>
      <c r="DS205" s="361">
        <v>0.0</v>
      </c>
      <c r="DT205" s="361">
        <v>0.74</v>
      </c>
      <c r="DX205" s="363">
        <v>36.0</v>
      </c>
      <c r="DY205" s="362">
        <v>43.18</v>
      </c>
      <c r="DZ205" s="364">
        <v>19.9</v>
      </c>
      <c r="EA205" s="361">
        <v>0.92</v>
      </c>
      <c r="EE205" s="362">
        <v>36.92</v>
      </c>
      <c r="EF205" s="362">
        <v>43.18</v>
      </c>
      <c r="EG205" s="364">
        <v>19.9</v>
      </c>
    </row>
    <row r="206" ht="12.0" customHeight="1">
      <c r="I206" s="41"/>
      <c r="J206" s="365" t="s">
        <v>252</v>
      </c>
      <c r="K206" s="366" t="s">
        <v>58</v>
      </c>
      <c r="L206" s="185">
        <v>14.0</v>
      </c>
      <c r="M206" s="185">
        <v>6.0</v>
      </c>
      <c r="P206" s="365" t="s">
        <v>252</v>
      </c>
      <c r="Q206" s="366" t="s">
        <v>71</v>
      </c>
      <c r="R206" s="185">
        <v>19.0</v>
      </c>
      <c r="S206" s="185">
        <v>7.0</v>
      </c>
      <c r="V206" s="367" t="s">
        <v>253</v>
      </c>
      <c r="W206" s="366" t="s">
        <v>136</v>
      </c>
      <c r="X206" s="185">
        <v>49.0</v>
      </c>
      <c r="Y206" s="185">
        <v>6.0</v>
      </c>
      <c r="CM206" s="360">
        <v>32.91</v>
      </c>
      <c r="CN206" s="360">
        <v>14.66</v>
      </c>
      <c r="CO206" s="360">
        <v>8.88</v>
      </c>
      <c r="CP206" s="360">
        <v>17.09</v>
      </c>
      <c r="CQ206" s="360">
        <v>15.22</v>
      </c>
      <c r="CR206" s="360">
        <v>1.88</v>
      </c>
      <c r="CS206" s="360">
        <v>7.33</v>
      </c>
      <c r="CT206" s="360">
        <v>0.0</v>
      </c>
      <c r="CU206" s="360">
        <v>1.1</v>
      </c>
      <c r="CV206" s="360">
        <v>0.13</v>
      </c>
      <c r="CW206" s="360">
        <v>0.41</v>
      </c>
      <c r="CX206" s="360">
        <v>0.0</v>
      </c>
      <c r="CY206" s="360">
        <v>0.0</v>
      </c>
      <c r="CZ206" s="360">
        <v>0.0</v>
      </c>
      <c r="DA206" s="360">
        <v>0.39</v>
      </c>
      <c r="DL206" s="83">
        <v>15.0</v>
      </c>
      <c r="DM206" s="361">
        <v>32.91</v>
      </c>
      <c r="DN206" s="361">
        <v>14.66</v>
      </c>
      <c r="DO206" s="362">
        <v>44.71</v>
      </c>
      <c r="DP206" s="361">
        <v>7.33</v>
      </c>
      <c r="DQ206" s="361">
        <v>0.0</v>
      </c>
      <c r="DR206" s="361">
        <v>0.0</v>
      </c>
      <c r="DS206" s="361">
        <v>0.0</v>
      </c>
      <c r="DT206" s="361">
        <v>0.39</v>
      </c>
      <c r="DX206" s="363">
        <v>32.91</v>
      </c>
      <c r="DY206" s="362">
        <v>44.71</v>
      </c>
      <c r="DZ206" s="364">
        <v>15.05</v>
      </c>
      <c r="EA206" s="361">
        <v>7.33</v>
      </c>
      <c r="EE206" s="362">
        <v>40.239999999999995</v>
      </c>
      <c r="EF206" s="362">
        <v>44.71</v>
      </c>
      <c r="EG206" s="364">
        <v>15.05</v>
      </c>
    </row>
    <row r="207" ht="12.0" customHeight="1">
      <c r="I207" s="41"/>
      <c r="J207" s="365" t="s">
        <v>252</v>
      </c>
      <c r="K207" s="366" t="s">
        <v>63</v>
      </c>
      <c r="L207" s="185">
        <v>15.0</v>
      </c>
      <c r="M207" s="185">
        <v>6.0</v>
      </c>
      <c r="P207" s="365" t="s">
        <v>252</v>
      </c>
      <c r="Q207" s="366" t="s">
        <v>73</v>
      </c>
      <c r="R207" s="185">
        <v>20.0</v>
      </c>
      <c r="S207" s="185">
        <v>5.0</v>
      </c>
      <c r="V207" s="367" t="s">
        <v>253</v>
      </c>
      <c r="W207" s="366" t="s">
        <v>141</v>
      </c>
      <c r="X207" s="185">
        <v>50.0</v>
      </c>
      <c r="Y207" s="185">
        <v>4.0</v>
      </c>
      <c r="CM207" s="360">
        <v>29.45</v>
      </c>
      <c r="CN207" s="360">
        <v>11.76</v>
      </c>
      <c r="CO207" s="360">
        <v>13.6</v>
      </c>
      <c r="CP207" s="360">
        <v>24.01</v>
      </c>
      <c r="CQ207" s="360">
        <v>11.12</v>
      </c>
      <c r="CR207" s="360">
        <v>0.58</v>
      </c>
      <c r="CS207" s="360">
        <v>5.92</v>
      </c>
      <c r="CT207" s="360">
        <v>0.0</v>
      </c>
      <c r="CU207" s="360">
        <v>0.0</v>
      </c>
      <c r="CV207" s="360">
        <v>2.17</v>
      </c>
      <c r="CW207" s="360">
        <v>0.38</v>
      </c>
      <c r="CX207" s="360">
        <v>0.0</v>
      </c>
      <c r="CY207" s="360">
        <v>0.0</v>
      </c>
      <c r="CZ207" s="360">
        <v>0.01</v>
      </c>
      <c r="DA207" s="360">
        <v>1.0</v>
      </c>
      <c r="DL207" s="83">
        <v>16.0</v>
      </c>
      <c r="DM207" s="361">
        <v>29.45</v>
      </c>
      <c r="DN207" s="361">
        <v>11.76</v>
      </c>
      <c r="DO207" s="362">
        <v>51.86</v>
      </c>
      <c r="DP207" s="361">
        <v>5.92</v>
      </c>
      <c r="DQ207" s="361">
        <v>0.0</v>
      </c>
      <c r="DR207" s="361">
        <v>0.0</v>
      </c>
      <c r="DS207" s="361">
        <v>0.01</v>
      </c>
      <c r="DT207" s="361">
        <v>1.0</v>
      </c>
      <c r="DX207" s="363">
        <v>29.45</v>
      </c>
      <c r="DY207" s="362">
        <v>51.86</v>
      </c>
      <c r="DZ207" s="364">
        <v>12.77</v>
      </c>
      <c r="EA207" s="361">
        <v>5.92</v>
      </c>
      <c r="EE207" s="362">
        <v>35.37</v>
      </c>
      <c r="EF207" s="362">
        <v>51.86</v>
      </c>
      <c r="EG207" s="364">
        <v>12.77</v>
      </c>
    </row>
    <row r="208" ht="12.0" customHeight="1">
      <c r="I208" s="41"/>
      <c r="J208" s="365" t="s">
        <v>252</v>
      </c>
      <c r="K208" s="366" t="s">
        <v>65</v>
      </c>
      <c r="L208" s="185">
        <v>16.0</v>
      </c>
      <c r="M208" s="185">
        <v>7.0</v>
      </c>
      <c r="P208" s="365" t="s">
        <v>252</v>
      </c>
      <c r="Q208" s="366" t="s">
        <v>75</v>
      </c>
      <c r="R208" s="185">
        <v>21.0</v>
      </c>
      <c r="S208" s="185">
        <v>6.0</v>
      </c>
      <c r="V208" s="367" t="s">
        <v>253</v>
      </c>
      <c r="W208" s="366" t="s">
        <v>143</v>
      </c>
      <c r="X208" s="185">
        <v>51.0</v>
      </c>
      <c r="Y208" s="185">
        <v>7.0</v>
      </c>
      <c r="CM208" s="360">
        <v>31.71</v>
      </c>
      <c r="CN208" s="360">
        <v>8.94</v>
      </c>
      <c r="CO208" s="360">
        <v>3.55</v>
      </c>
      <c r="CP208" s="360">
        <v>29.02</v>
      </c>
      <c r="CQ208" s="360">
        <v>11.14</v>
      </c>
      <c r="CR208" s="360">
        <v>2.39</v>
      </c>
      <c r="CS208" s="360">
        <v>9.89</v>
      </c>
      <c r="CT208" s="360">
        <v>0.0</v>
      </c>
      <c r="CU208" s="360">
        <v>0.82</v>
      </c>
      <c r="CV208" s="360">
        <v>0.0</v>
      </c>
      <c r="CW208" s="360">
        <v>0.28</v>
      </c>
      <c r="CX208" s="360">
        <v>0.0</v>
      </c>
      <c r="CY208" s="360">
        <v>0.0</v>
      </c>
      <c r="CZ208" s="360">
        <v>0.01</v>
      </c>
      <c r="DA208" s="360">
        <v>2.25</v>
      </c>
      <c r="DL208" s="83">
        <v>17.0</v>
      </c>
      <c r="DM208" s="361">
        <v>31.71</v>
      </c>
      <c r="DN208" s="361">
        <v>8.94</v>
      </c>
      <c r="DO208" s="362">
        <v>47.2</v>
      </c>
      <c r="DP208" s="361">
        <v>9.89</v>
      </c>
      <c r="DQ208" s="361">
        <v>0.0</v>
      </c>
      <c r="DR208" s="361">
        <v>0.0</v>
      </c>
      <c r="DS208" s="361">
        <v>0.01</v>
      </c>
      <c r="DT208" s="361">
        <v>2.25</v>
      </c>
      <c r="DX208" s="363">
        <v>31.71</v>
      </c>
      <c r="DY208" s="362">
        <v>47.2</v>
      </c>
      <c r="DZ208" s="364">
        <v>11.2</v>
      </c>
      <c r="EA208" s="361">
        <v>9.89</v>
      </c>
      <c r="EE208" s="362">
        <v>41.6</v>
      </c>
      <c r="EF208" s="362">
        <v>47.2</v>
      </c>
      <c r="EG208" s="364">
        <v>11.2</v>
      </c>
    </row>
    <row r="209" ht="12.0" customHeight="1">
      <c r="I209" s="41"/>
      <c r="J209" s="365" t="s">
        <v>252</v>
      </c>
      <c r="K209" s="366" t="s">
        <v>67</v>
      </c>
      <c r="L209" s="185">
        <v>17.0</v>
      </c>
      <c r="M209" s="185">
        <v>6.0</v>
      </c>
      <c r="P209" s="365" t="s">
        <v>252</v>
      </c>
      <c r="Q209" s="366" t="s">
        <v>78</v>
      </c>
      <c r="R209" s="185">
        <v>22.0</v>
      </c>
      <c r="S209" s="185">
        <v>5.0</v>
      </c>
      <c r="V209" s="367" t="s">
        <v>253</v>
      </c>
      <c r="W209" s="366" t="s">
        <v>145</v>
      </c>
      <c r="X209" s="185">
        <v>52.0</v>
      </c>
      <c r="Y209" s="185">
        <v>6.0</v>
      </c>
      <c r="CM209" s="360">
        <v>38.12</v>
      </c>
      <c r="CN209" s="360">
        <v>17.31</v>
      </c>
      <c r="CO209" s="360">
        <v>13.4</v>
      </c>
      <c r="CP209" s="360">
        <v>9.46</v>
      </c>
      <c r="CQ209" s="360">
        <v>9.62</v>
      </c>
      <c r="CR209" s="360">
        <v>7.23</v>
      </c>
      <c r="CS209" s="360">
        <v>1.43</v>
      </c>
      <c r="CT209" s="360">
        <v>0.0</v>
      </c>
      <c r="CU209" s="360">
        <v>0.0</v>
      </c>
      <c r="CV209" s="360">
        <v>0.12</v>
      </c>
      <c r="CW209" s="360">
        <v>1.6</v>
      </c>
      <c r="CX209" s="360">
        <v>0.0</v>
      </c>
      <c r="CY209" s="360">
        <v>0.0</v>
      </c>
      <c r="CZ209" s="360">
        <v>0.17</v>
      </c>
      <c r="DA209" s="360">
        <v>1.54</v>
      </c>
      <c r="DL209" s="83">
        <v>18.0</v>
      </c>
      <c r="DM209" s="361">
        <v>38.12</v>
      </c>
      <c r="DN209" s="361">
        <v>17.31</v>
      </c>
      <c r="DO209" s="362">
        <v>41.42999999999999</v>
      </c>
      <c r="DP209" s="361">
        <v>1.43</v>
      </c>
      <c r="DQ209" s="361">
        <v>0.0</v>
      </c>
      <c r="DR209" s="361">
        <v>0.0</v>
      </c>
      <c r="DS209" s="361">
        <v>0.17</v>
      </c>
      <c r="DT209" s="361">
        <v>1.54</v>
      </c>
      <c r="DX209" s="363">
        <v>38.12</v>
      </c>
      <c r="DY209" s="362">
        <v>41.42999999999999</v>
      </c>
      <c r="DZ209" s="364">
        <v>19.02</v>
      </c>
      <c r="EA209" s="361">
        <v>1.43</v>
      </c>
      <c r="EE209" s="362">
        <v>39.55</v>
      </c>
      <c r="EF209" s="362">
        <v>41.42999999999999</v>
      </c>
      <c r="EG209" s="364">
        <v>19.02</v>
      </c>
    </row>
    <row r="210" ht="12.0" customHeight="1">
      <c r="I210" s="41"/>
      <c r="J210" s="365" t="s">
        <v>252</v>
      </c>
      <c r="K210" s="366" t="s">
        <v>69</v>
      </c>
      <c r="L210" s="185">
        <v>18.0</v>
      </c>
      <c r="M210" s="185">
        <v>5.0</v>
      </c>
      <c r="P210" s="365" t="s">
        <v>252</v>
      </c>
      <c r="Q210" s="366" t="s">
        <v>80</v>
      </c>
      <c r="R210" s="185">
        <v>23.0</v>
      </c>
      <c r="S210" s="185">
        <v>6.0</v>
      </c>
      <c r="V210" s="367" t="s">
        <v>253</v>
      </c>
      <c r="W210" s="366" t="s">
        <v>150</v>
      </c>
      <c r="X210" s="185">
        <v>53.0</v>
      </c>
      <c r="Y210" s="185">
        <v>9.0</v>
      </c>
      <c r="CM210" s="360">
        <v>34.39</v>
      </c>
      <c r="CN210" s="360">
        <v>10.55</v>
      </c>
      <c r="CO210" s="360">
        <v>23.47</v>
      </c>
      <c r="CP210" s="360">
        <v>13.45</v>
      </c>
      <c r="CQ210" s="360">
        <v>11.72</v>
      </c>
      <c r="CR210" s="360">
        <v>0.88</v>
      </c>
      <c r="CS210" s="360">
        <v>1.15</v>
      </c>
      <c r="CT210" s="360">
        <v>0.0</v>
      </c>
      <c r="CU210" s="360">
        <v>1.08</v>
      </c>
      <c r="CV210" s="360">
        <v>0.0</v>
      </c>
      <c r="CW210" s="360">
        <v>0.87</v>
      </c>
      <c r="CX210" s="360">
        <v>0.0</v>
      </c>
      <c r="CY210" s="360">
        <v>0.0</v>
      </c>
      <c r="CZ210" s="360">
        <v>1.2</v>
      </c>
      <c r="DA210" s="360">
        <v>1.24</v>
      </c>
      <c r="DL210" s="83">
        <v>19.0</v>
      </c>
      <c r="DM210" s="361">
        <v>34.39</v>
      </c>
      <c r="DN210" s="361">
        <v>10.55</v>
      </c>
      <c r="DO210" s="362">
        <v>51.47</v>
      </c>
      <c r="DP210" s="361">
        <v>1.15</v>
      </c>
      <c r="DQ210" s="361">
        <v>0.0</v>
      </c>
      <c r="DR210" s="361">
        <v>0.0</v>
      </c>
      <c r="DS210" s="361">
        <v>1.2</v>
      </c>
      <c r="DT210" s="361">
        <v>1.24</v>
      </c>
      <c r="DX210" s="363">
        <v>34.39</v>
      </c>
      <c r="DY210" s="362">
        <v>51.47</v>
      </c>
      <c r="DZ210" s="364">
        <v>12.99</v>
      </c>
      <c r="EA210" s="361">
        <v>1.15</v>
      </c>
      <c r="EE210" s="362">
        <v>35.54</v>
      </c>
      <c r="EF210" s="362">
        <v>51.47</v>
      </c>
      <c r="EG210" s="364">
        <v>12.99</v>
      </c>
    </row>
    <row r="211" ht="12.0" customHeight="1">
      <c r="I211" s="41"/>
      <c r="J211" s="365" t="s">
        <v>252</v>
      </c>
      <c r="K211" s="366" t="s">
        <v>71</v>
      </c>
      <c r="L211" s="185">
        <v>19.0</v>
      </c>
      <c r="M211" s="185">
        <v>7.0</v>
      </c>
      <c r="P211" s="365" t="s">
        <v>252</v>
      </c>
      <c r="Q211" s="366" t="s">
        <v>92</v>
      </c>
      <c r="R211" s="185">
        <v>29.0</v>
      </c>
      <c r="S211" s="185">
        <v>5.0</v>
      </c>
      <c r="V211" s="367" t="s">
        <v>253</v>
      </c>
      <c r="W211" s="366" t="s">
        <v>155</v>
      </c>
      <c r="X211" s="185">
        <v>54.0</v>
      </c>
      <c r="Y211" s="185">
        <v>10.0</v>
      </c>
      <c r="CM211" s="360">
        <v>27.47</v>
      </c>
      <c r="CN211" s="360">
        <v>10.3</v>
      </c>
      <c r="CO211" s="360">
        <v>8.67</v>
      </c>
      <c r="CP211" s="360">
        <v>38.15</v>
      </c>
      <c r="CQ211" s="360">
        <v>9.85</v>
      </c>
      <c r="CR211" s="360">
        <v>0.82</v>
      </c>
      <c r="CS211" s="360">
        <v>0.8</v>
      </c>
      <c r="CT211" s="360">
        <v>0.0</v>
      </c>
      <c r="CU211" s="360">
        <v>0.15</v>
      </c>
      <c r="CV211" s="360">
        <v>3.22</v>
      </c>
      <c r="CW211" s="360">
        <v>0.0</v>
      </c>
      <c r="CX211" s="360">
        <v>0.0</v>
      </c>
      <c r="CY211" s="360">
        <v>0.0</v>
      </c>
      <c r="CZ211" s="360">
        <v>0.0</v>
      </c>
      <c r="DA211" s="360">
        <v>0.57</v>
      </c>
      <c r="DL211" s="83">
        <v>20.0</v>
      </c>
      <c r="DM211" s="361">
        <v>27.47</v>
      </c>
      <c r="DN211" s="361">
        <v>10.3</v>
      </c>
      <c r="DO211" s="362">
        <v>60.86</v>
      </c>
      <c r="DP211" s="361">
        <v>0.8</v>
      </c>
      <c r="DQ211" s="361">
        <v>0.0</v>
      </c>
      <c r="DR211" s="361">
        <v>0.0</v>
      </c>
      <c r="DS211" s="361">
        <v>0.0</v>
      </c>
      <c r="DT211" s="361">
        <v>0.57</v>
      </c>
      <c r="DX211" s="361">
        <v>27.47</v>
      </c>
      <c r="DY211" s="362">
        <v>60.86</v>
      </c>
      <c r="DZ211" s="364">
        <v>10.870000000000001</v>
      </c>
      <c r="EA211" s="361">
        <v>0.8</v>
      </c>
      <c r="EE211" s="362">
        <v>28.27</v>
      </c>
      <c r="EF211" s="362">
        <v>60.86</v>
      </c>
      <c r="EG211" s="364">
        <v>10.870000000000001</v>
      </c>
    </row>
    <row r="212" ht="12.0" customHeight="1">
      <c r="I212" s="41"/>
      <c r="J212" s="365" t="s">
        <v>252</v>
      </c>
      <c r="K212" s="366" t="s">
        <v>73</v>
      </c>
      <c r="L212" s="185">
        <v>20.0</v>
      </c>
      <c r="M212" s="185">
        <v>5.0</v>
      </c>
      <c r="P212" s="365" t="s">
        <v>252</v>
      </c>
      <c r="Q212" s="366" t="s">
        <v>94</v>
      </c>
      <c r="R212" s="185">
        <v>30.0</v>
      </c>
      <c r="S212" s="185">
        <v>4.0</v>
      </c>
      <c r="V212" s="367" t="s">
        <v>253</v>
      </c>
      <c r="W212" s="366" t="s">
        <v>157</v>
      </c>
      <c r="X212" s="185">
        <v>55.0</v>
      </c>
      <c r="Y212" s="185">
        <v>9.0</v>
      </c>
      <c r="CM212" s="360">
        <v>28.94</v>
      </c>
      <c r="CN212" s="360">
        <v>11.04</v>
      </c>
      <c r="CO212" s="360">
        <v>0.1</v>
      </c>
      <c r="CP212" s="360">
        <v>4.24</v>
      </c>
      <c r="CQ212" s="360">
        <v>25.33</v>
      </c>
      <c r="CR212" s="360">
        <v>5.33</v>
      </c>
      <c r="CS212" s="360">
        <v>0.0</v>
      </c>
      <c r="CT212" s="360">
        <v>0.0</v>
      </c>
      <c r="CU212" s="360">
        <v>20.84</v>
      </c>
      <c r="CV212" s="360">
        <v>0.15</v>
      </c>
      <c r="CW212" s="360">
        <v>0.11</v>
      </c>
      <c r="CX212" s="360">
        <v>0.0</v>
      </c>
      <c r="CY212" s="360">
        <v>0.0</v>
      </c>
      <c r="CZ212" s="360">
        <v>0.0</v>
      </c>
      <c r="DA212" s="360">
        <v>3.92</v>
      </c>
      <c r="DL212" s="83">
        <v>21.0</v>
      </c>
      <c r="DM212" s="361">
        <v>28.94</v>
      </c>
      <c r="DN212" s="361">
        <v>11.04</v>
      </c>
      <c r="DO212" s="362">
        <v>56.1</v>
      </c>
      <c r="DP212" s="361">
        <v>0.0</v>
      </c>
      <c r="DQ212" s="361">
        <v>0.0</v>
      </c>
      <c r="DR212" s="361">
        <v>0.0</v>
      </c>
      <c r="DS212" s="361">
        <v>0.0</v>
      </c>
      <c r="DT212" s="361">
        <v>3.92</v>
      </c>
      <c r="DX212" s="363">
        <v>28.94</v>
      </c>
      <c r="DY212" s="362">
        <v>56.1</v>
      </c>
      <c r="DZ212" s="364">
        <v>14.959999999999999</v>
      </c>
      <c r="EA212" s="361">
        <v>0.0</v>
      </c>
      <c r="EE212" s="362">
        <v>28.94</v>
      </c>
      <c r="EF212" s="362">
        <v>56.1</v>
      </c>
      <c r="EG212" s="364">
        <v>14.959999999999999</v>
      </c>
    </row>
    <row r="213" ht="12.0" customHeight="1">
      <c r="I213" s="41"/>
      <c r="J213" s="365" t="s">
        <v>252</v>
      </c>
      <c r="K213" s="366" t="s">
        <v>75</v>
      </c>
      <c r="L213" s="185">
        <v>21.0</v>
      </c>
      <c r="M213" s="185">
        <v>6.0</v>
      </c>
      <c r="P213" s="365" t="s">
        <v>252</v>
      </c>
      <c r="Q213" s="366" t="s">
        <v>96</v>
      </c>
      <c r="R213" s="185">
        <v>31.0</v>
      </c>
      <c r="S213" s="185">
        <v>5.0</v>
      </c>
      <c r="V213" s="367" t="s">
        <v>253</v>
      </c>
      <c r="W213" s="366" t="s">
        <v>161</v>
      </c>
      <c r="X213" s="185">
        <v>56.0</v>
      </c>
      <c r="Y213" s="185">
        <v>5.0</v>
      </c>
      <c r="CM213" s="360">
        <v>17.73</v>
      </c>
      <c r="CN213" s="360">
        <v>11.07</v>
      </c>
      <c r="CO213" s="360">
        <v>23.84</v>
      </c>
      <c r="CP213" s="360">
        <v>35.34</v>
      </c>
      <c r="CQ213" s="360">
        <v>10.48</v>
      </c>
      <c r="CR213" s="360">
        <v>0.0</v>
      </c>
      <c r="CS213" s="360">
        <v>0.83</v>
      </c>
      <c r="CT213" s="360">
        <v>0.0</v>
      </c>
      <c r="CU213" s="360">
        <v>0.0</v>
      </c>
      <c r="CV213" s="360">
        <v>0.34</v>
      </c>
      <c r="CW213" s="360">
        <v>0.0</v>
      </c>
      <c r="CX213" s="360">
        <v>0.0</v>
      </c>
      <c r="CY213" s="360">
        <v>0.0</v>
      </c>
      <c r="CZ213" s="360">
        <v>0.36</v>
      </c>
      <c r="DA213" s="360">
        <v>0.05</v>
      </c>
      <c r="DL213" s="83">
        <v>22.0</v>
      </c>
      <c r="DM213" s="361">
        <v>17.73</v>
      </c>
      <c r="DN213" s="361">
        <v>11.07</v>
      </c>
      <c r="DO213" s="362">
        <v>70.00000000000001</v>
      </c>
      <c r="DP213" s="361">
        <v>0.83</v>
      </c>
      <c r="DQ213" s="361">
        <v>0.0</v>
      </c>
      <c r="DR213" s="361">
        <v>0.0</v>
      </c>
      <c r="DS213" s="361">
        <v>0.36</v>
      </c>
      <c r="DT213" s="361">
        <v>0.05</v>
      </c>
      <c r="DX213" s="361">
        <v>17.73</v>
      </c>
      <c r="DY213" s="362">
        <v>70.00000000000001</v>
      </c>
      <c r="DZ213" s="364">
        <v>11.48</v>
      </c>
      <c r="EA213" s="361">
        <v>0.83</v>
      </c>
      <c r="EE213" s="362">
        <v>18.56</v>
      </c>
      <c r="EF213" s="362">
        <v>70.00000000000001</v>
      </c>
      <c r="EG213" s="364">
        <v>11.48</v>
      </c>
    </row>
    <row r="214" ht="12.0" customHeight="1">
      <c r="I214" s="41"/>
      <c r="J214" s="365" t="s">
        <v>252</v>
      </c>
      <c r="K214" s="366" t="s">
        <v>78</v>
      </c>
      <c r="L214" s="185">
        <v>22.0</v>
      </c>
      <c r="M214" s="185">
        <v>5.0</v>
      </c>
      <c r="P214" s="365" t="s">
        <v>252</v>
      </c>
      <c r="Q214" s="366" t="s">
        <v>98</v>
      </c>
      <c r="R214" s="185">
        <v>32.0</v>
      </c>
      <c r="S214" s="185">
        <v>6.0</v>
      </c>
      <c r="V214" s="367" t="s">
        <v>253</v>
      </c>
      <c r="W214" s="366" t="s">
        <v>163</v>
      </c>
      <c r="X214" s="185">
        <v>57.0</v>
      </c>
      <c r="Y214" s="185">
        <v>6.0</v>
      </c>
      <c r="CM214" s="360">
        <v>16.05</v>
      </c>
      <c r="CN214" s="360">
        <v>9.56</v>
      </c>
      <c r="CO214" s="360">
        <v>14.52</v>
      </c>
      <c r="CP214" s="360">
        <v>34.9</v>
      </c>
      <c r="CQ214" s="360">
        <v>11.89</v>
      </c>
      <c r="CR214" s="360">
        <v>1.8</v>
      </c>
      <c r="CS214" s="360">
        <v>5.17</v>
      </c>
      <c r="CT214" s="360">
        <v>0.0</v>
      </c>
      <c r="CU214" s="360">
        <v>0.0</v>
      </c>
      <c r="CV214" s="360">
        <v>4.11</v>
      </c>
      <c r="CW214" s="360">
        <v>0.33</v>
      </c>
      <c r="CX214" s="360">
        <v>0.0</v>
      </c>
      <c r="CY214" s="360">
        <v>0.0</v>
      </c>
      <c r="CZ214" s="360">
        <v>0.29</v>
      </c>
      <c r="DA214" s="360">
        <v>1.38</v>
      </c>
      <c r="DL214" s="83">
        <v>23.0</v>
      </c>
      <c r="DM214" s="361">
        <v>16.05</v>
      </c>
      <c r="DN214" s="361">
        <v>9.56</v>
      </c>
      <c r="DO214" s="362">
        <v>67.55</v>
      </c>
      <c r="DP214" s="361">
        <v>5.17</v>
      </c>
      <c r="DQ214" s="361">
        <v>0.0</v>
      </c>
      <c r="DR214" s="361">
        <v>0.0</v>
      </c>
      <c r="DS214" s="361">
        <v>0.29</v>
      </c>
      <c r="DT214" s="361">
        <v>1.38</v>
      </c>
      <c r="DX214" s="361">
        <v>16.05</v>
      </c>
      <c r="DY214" s="362">
        <v>67.55</v>
      </c>
      <c r="DZ214" s="364">
        <v>11.23</v>
      </c>
      <c r="EA214" s="361">
        <v>5.17</v>
      </c>
      <c r="EE214" s="362">
        <v>21.22</v>
      </c>
      <c r="EF214" s="362">
        <v>67.55</v>
      </c>
      <c r="EG214" s="364">
        <v>11.23</v>
      </c>
    </row>
    <row r="215" ht="12.0" customHeight="1">
      <c r="I215" s="41"/>
      <c r="J215" s="365" t="s">
        <v>252</v>
      </c>
      <c r="K215" s="366" t="s">
        <v>80</v>
      </c>
      <c r="L215" s="185">
        <v>23.0</v>
      </c>
      <c r="M215" s="185">
        <v>6.0</v>
      </c>
      <c r="P215" s="365" t="s">
        <v>252</v>
      </c>
      <c r="Q215" s="366" t="s">
        <v>100</v>
      </c>
      <c r="R215" s="185">
        <v>33.0</v>
      </c>
      <c r="S215" s="185">
        <v>5.0</v>
      </c>
      <c r="V215" s="367" t="s">
        <v>253</v>
      </c>
      <c r="W215" s="366" t="s">
        <v>165</v>
      </c>
      <c r="X215" s="185">
        <v>58.0</v>
      </c>
      <c r="Y215" s="185">
        <v>5.0</v>
      </c>
      <c r="CM215" s="360">
        <v>28.85</v>
      </c>
      <c r="CN215" s="360">
        <v>10.38</v>
      </c>
      <c r="CO215" s="360">
        <v>13.85</v>
      </c>
      <c r="CP215" s="360">
        <v>29.8</v>
      </c>
      <c r="CQ215" s="360">
        <v>0.0</v>
      </c>
      <c r="CR215" s="360">
        <v>0.0</v>
      </c>
      <c r="CS215" s="360">
        <v>4.2</v>
      </c>
      <c r="CT215" s="360">
        <v>0.0</v>
      </c>
      <c r="CU215" s="360">
        <v>1.18</v>
      </c>
      <c r="CV215" s="360">
        <v>10.88</v>
      </c>
      <c r="CW215" s="360">
        <v>0.0</v>
      </c>
      <c r="CX215" s="360">
        <v>0.0</v>
      </c>
      <c r="CY215" s="360">
        <v>0.0</v>
      </c>
      <c r="CZ215" s="360">
        <v>0.0</v>
      </c>
      <c r="DA215" s="360">
        <v>0.86</v>
      </c>
      <c r="DL215" s="83">
        <v>24.0</v>
      </c>
      <c r="DM215" s="361">
        <v>28.85</v>
      </c>
      <c r="DN215" s="361">
        <v>10.38</v>
      </c>
      <c r="DO215" s="362">
        <v>55.71</v>
      </c>
      <c r="DP215" s="361">
        <v>4.2</v>
      </c>
      <c r="DQ215" s="361">
        <v>0.0</v>
      </c>
      <c r="DR215" s="361">
        <v>0.0</v>
      </c>
      <c r="DS215" s="361">
        <v>0.0</v>
      </c>
      <c r="DT215" s="361">
        <v>0.86</v>
      </c>
      <c r="DX215" s="361">
        <v>28.85</v>
      </c>
      <c r="DY215" s="362">
        <v>55.71</v>
      </c>
      <c r="DZ215" s="364">
        <v>11.24</v>
      </c>
      <c r="EA215" s="361">
        <v>4.2</v>
      </c>
      <c r="EE215" s="362">
        <v>33.050000000000004</v>
      </c>
      <c r="EF215" s="362">
        <v>55.71</v>
      </c>
      <c r="EG215" s="364">
        <v>11.24</v>
      </c>
    </row>
    <row r="216" ht="12.0" customHeight="1">
      <c r="I216" s="41"/>
      <c r="J216" s="367" t="s">
        <v>253</v>
      </c>
      <c r="K216" s="366" t="s">
        <v>82</v>
      </c>
      <c r="L216" s="185">
        <v>24.0</v>
      </c>
      <c r="M216" s="185">
        <v>6.0</v>
      </c>
      <c r="P216" s="365" t="s">
        <v>252</v>
      </c>
      <c r="Q216" s="366" t="s">
        <v>102</v>
      </c>
      <c r="R216" s="185">
        <v>34.0</v>
      </c>
      <c r="S216" s="185">
        <v>4.0</v>
      </c>
      <c r="V216" s="367" t="s">
        <v>253</v>
      </c>
      <c r="W216" s="366" t="s">
        <v>167</v>
      </c>
      <c r="X216" s="185">
        <v>59.0</v>
      </c>
      <c r="Y216" s="185">
        <v>5.0</v>
      </c>
      <c r="CM216" s="360">
        <v>32.01</v>
      </c>
      <c r="CN216" s="360">
        <v>19.89</v>
      </c>
      <c r="CO216" s="360">
        <v>20.45</v>
      </c>
      <c r="CP216" s="360">
        <v>12.33</v>
      </c>
      <c r="CQ216" s="360">
        <v>6.37</v>
      </c>
      <c r="CR216" s="360">
        <v>0.55</v>
      </c>
      <c r="CS216" s="360">
        <v>1.96</v>
      </c>
      <c r="CT216" s="360">
        <v>0.0</v>
      </c>
      <c r="CU216" s="360">
        <v>0.0</v>
      </c>
      <c r="CV216" s="360">
        <v>1.12</v>
      </c>
      <c r="CW216" s="360">
        <v>3.54</v>
      </c>
      <c r="CX216" s="360">
        <v>0.0</v>
      </c>
      <c r="CY216" s="360">
        <v>0.0</v>
      </c>
      <c r="CZ216" s="360">
        <v>0.92</v>
      </c>
      <c r="DA216" s="360">
        <v>0.86</v>
      </c>
      <c r="DL216" s="83">
        <v>25.0</v>
      </c>
      <c r="DM216" s="361">
        <v>32.01</v>
      </c>
      <c r="DN216" s="361">
        <v>19.89</v>
      </c>
      <c r="DO216" s="362">
        <v>44.35999999999999</v>
      </c>
      <c r="DP216" s="361">
        <v>1.96</v>
      </c>
      <c r="DQ216" s="361">
        <v>0.0</v>
      </c>
      <c r="DR216" s="361">
        <v>0.0</v>
      </c>
      <c r="DS216" s="361">
        <v>0.92</v>
      </c>
      <c r="DT216" s="361">
        <v>0.86</v>
      </c>
      <c r="DX216" s="363">
        <v>32.01</v>
      </c>
      <c r="DY216" s="362">
        <v>44.35999999999999</v>
      </c>
      <c r="DZ216" s="364">
        <v>21.67</v>
      </c>
      <c r="EA216" s="361">
        <v>1.96</v>
      </c>
      <c r="EE216" s="362">
        <v>33.97</v>
      </c>
      <c r="EF216" s="362">
        <v>44.35999999999999</v>
      </c>
      <c r="EG216" s="364">
        <v>21.67</v>
      </c>
    </row>
    <row r="217" ht="12.0" customHeight="1">
      <c r="I217" s="41"/>
      <c r="J217" s="367" t="s">
        <v>253</v>
      </c>
      <c r="K217" s="366" t="s">
        <v>84</v>
      </c>
      <c r="L217" s="185">
        <v>25.0</v>
      </c>
      <c r="M217" s="185">
        <v>4.0</v>
      </c>
      <c r="P217" s="365" t="s">
        <v>252</v>
      </c>
      <c r="Q217" s="366" t="s">
        <v>102</v>
      </c>
      <c r="R217" s="185">
        <v>35.0</v>
      </c>
      <c r="S217" s="185">
        <v>4.0</v>
      </c>
      <c r="V217" s="367" t="s">
        <v>253</v>
      </c>
      <c r="W217" s="366" t="s">
        <v>169</v>
      </c>
      <c r="X217" s="185">
        <v>60.0</v>
      </c>
      <c r="Y217" s="185">
        <v>5.0</v>
      </c>
      <c r="CM217" s="360">
        <v>11.55</v>
      </c>
      <c r="CN217" s="360">
        <v>17.91</v>
      </c>
      <c r="CO217" s="360">
        <v>14.55</v>
      </c>
      <c r="CP217" s="360">
        <v>21.06</v>
      </c>
      <c r="CQ217" s="360">
        <v>16.54</v>
      </c>
      <c r="CR217" s="360">
        <v>0.0</v>
      </c>
      <c r="CS217" s="360">
        <v>4.26</v>
      </c>
      <c r="CT217" s="360">
        <v>0.0</v>
      </c>
      <c r="CU217" s="360">
        <v>0.7</v>
      </c>
      <c r="CV217" s="360">
        <v>7.45</v>
      </c>
      <c r="CW217" s="360">
        <v>2.96</v>
      </c>
      <c r="CX217" s="360">
        <v>0.0</v>
      </c>
      <c r="CY217" s="360">
        <v>0.0</v>
      </c>
      <c r="CZ217" s="360">
        <v>1.65</v>
      </c>
      <c r="DA217" s="360">
        <v>1.37</v>
      </c>
      <c r="DL217" s="83">
        <v>26.0</v>
      </c>
      <c r="DM217" s="361">
        <v>11.55</v>
      </c>
      <c r="DN217" s="361">
        <v>17.91</v>
      </c>
      <c r="DO217" s="362">
        <v>63.260000000000005</v>
      </c>
      <c r="DP217" s="361">
        <v>4.26</v>
      </c>
      <c r="DQ217" s="361">
        <v>0.0</v>
      </c>
      <c r="DR217" s="361">
        <v>0.0</v>
      </c>
      <c r="DS217" s="361">
        <v>1.65</v>
      </c>
      <c r="DT217" s="361">
        <v>1.37</v>
      </c>
      <c r="DX217" s="361">
        <v>11.55</v>
      </c>
      <c r="DY217" s="362">
        <v>63.260000000000005</v>
      </c>
      <c r="DZ217" s="364">
        <v>20.93</v>
      </c>
      <c r="EA217" s="361">
        <v>4.26</v>
      </c>
      <c r="EE217" s="362">
        <v>15.81</v>
      </c>
      <c r="EF217" s="362">
        <v>63.260000000000005</v>
      </c>
      <c r="EG217" s="364">
        <v>20.93</v>
      </c>
    </row>
    <row r="218" ht="12.0" customHeight="1">
      <c r="I218" s="41"/>
      <c r="J218" s="367" t="s">
        <v>253</v>
      </c>
      <c r="K218" s="366" t="s">
        <v>86</v>
      </c>
      <c r="L218" s="185">
        <v>26.0</v>
      </c>
      <c r="M218" s="185">
        <v>6.0</v>
      </c>
      <c r="P218" s="365" t="s">
        <v>252</v>
      </c>
      <c r="Q218" s="366" t="s">
        <v>107</v>
      </c>
      <c r="R218" s="185">
        <v>36.0</v>
      </c>
      <c r="S218" s="185">
        <v>5.0</v>
      </c>
      <c r="V218" s="367" t="s">
        <v>253</v>
      </c>
      <c r="W218" s="366" t="s">
        <v>171</v>
      </c>
      <c r="X218" s="185">
        <v>61.0</v>
      </c>
      <c r="Y218" s="185">
        <v>6.0</v>
      </c>
      <c r="CM218" s="360">
        <v>9.85</v>
      </c>
      <c r="CN218" s="360">
        <v>23.71</v>
      </c>
      <c r="CO218" s="360">
        <v>7.63</v>
      </c>
      <c r="CP218" s="360">
        <v>20.84</v>
      </c>
      <c r="CQ218" s="360">
        <v>11.59</v>
      </c>
      <c r="CR218" s="360">
        <v>0.0</v>
      </c>
      <c r="CS218" s="360">
        <v>0.0</v>
      </c>
      <c r="CT218" s="360">
        <v>0.0</v>
      </c>
      <c r="CU218" s="360">
        <v>0.0</v>
      </c>
      <c r="CV218" s="360">
        <v>24.98</v>
      </c>
      <c r="CW218" s="360">
        <v>0.8</v>
      </c>
      <c r="CX218" s="360">
        <v>0.0</v>
      </c>
      <c r="CY218" s="360">
        <v>0.07</v>
      </c>
      <c r="CZ218" s="360">
        <v>0.05</v>
      </c>
      <c r="DA218" s="360">
        <v>0.48</v>
      </c>
      <c r="DL218" s="83">
        <v>27.0</v>
      </c>
      <c r="DM218" s="361">
        <v>9.85</v>
      </c>
      <c r="DN218" s="361">
        <v>23.71</v>
      </c>
      <c r="DO218" s="362">
        <v>65.91</v>
      </c>
      <c r="DP218" s="361">
        <v>0.0</v>
      </c>
      <c r="DQ218" s="361">
        <v>0.0</v>
      </c>
      <c r="DR218" s="361">
        <v>0.0</v>
      </c>
      <c r="DS218" s="361">
        <v>0.05</v>
      </c>
      <c r="DT218" s="361">
        <v>0.48</v>
      </c>
      <c r="DX218" s="361">
        <v>9.85</v>
      </c>
      <c r="DY218" s="362">
        <v>65.91</v>
      </c>
      <c r="DZ218" s="364">
        <v>24.240000000000002</v>
      </c>
      <c r="EA218" s="361">
        <v>0.0</v>
      </c>
      <c r="EE218" s="362">
        <v>9.85</v>
      </c>
      <c r="EF218" s="362">
        <v>65.91</v>
      </c>
      <c r="EG218" s="364">
        <v>24.240000000000002</v>
      </c>
    </row>
    <row r="219" ht="12.0" customHeight="1">
      <c r="I219" s="41"/>
      <c r="J219" s="367" t="s">
        <v>253</v>
      </c>
      <c r="K219" s="366" t="s">
        <v>88</v>
      </c>
      <c r="L219" s="185">
        <v>27.0</v>
      </c>
      <c r="M219" s="185">
        <v>5.0</v>
      </c>
      <c r="P219" s="365" t="s">
        <v>252</v>
      </c>
      <c r="Q219" s="366" t="s">
        <v>39</v>
      </c>
      <c r="R219" s="185">
        <v>37.0</v>
      </c>
      <c r="S219" s="185">
        <v>6.0</v>
      </c>
      <c r="V219" s="367" t="s">
        <v>253</v>
      </c>
      <c r="W219" s="366" t="s">
        <v>173</v>
      </c>
      <c r="X219" s="185">
        <v>62.0</v>
      </c>
      <c r="Y219" s="185">
        <v>7.0</v>
      </c>
      <c r="CM219" s="360">
        <v>5.71</v>
      </c>
      <c r="CN219" s="360">
        <v>20.73</v>
      </c>
      <c r="CO219" s="360">
        <v>4.44</v>
      </c>
      <c r="CP219" s="360">
        <v>29.94</v>
      </c>
      <c r="CQ219" s="360">
        <v>15.65</v>
      </c>
      <c r="CR219" s="360">
        <v>0.0</v>
      </c>
      <c r="CS219" s="360">
        <v>2.52</v>
      </c>
      <c r="CT219" s="360">
        <v>0.0</v>
      </c>
      <c r="CU219" s="360">
        <v>0.0</v>
      </c>
      <c r="CV219" s="360">
        <v>20.25</v>
      </c>
      <c r="CW219" s="360">
        <v>0.0</v>
      </c>
      <c r="CX219" s="360">
        <v>0.0</v>
      </c>
      <c r="CY219" s="360">
        <v>0.0</v>
      </c>
      <c r="CZ219" s="360">
        <v>0.04</v>
      </c>
      <c r="DA219" s="360">
        <v>0.72</v>
      </c>
      <c r="DL219" s="83">
        <v>28.0</v>
      </c>
      <c r="DM219" s="361">
        <v>5.71</v>
      </c>
      <c r="DN219" s="361">
        <v>20.73</v>
      </c>
      <c r="DO219" s="362">
        <v>70.28</v>
      </c>
      <c r="DP219" s="361">
        <v>2.52</v>
      </c>
      <c r="DQ219" s="361">
        <v>0.0</v>
      </c>
      <c r="DR219" s="361">
        <v>0.0</v>
      </c>
      <c r="DS219" s="361">
        <v>0.04</v>
      </c>
      <c r="DT219" s="361">
        <v>0.72</v>
      </c>
      <c r="DX219" s="361">
        <v>5.71</v>
      </c>
      <c r="DY219" s="362">
        <v>70.28</v>
      </c>
      <c r="DZ219" s="364">
        <v>21.49</v>
      </c>
      <c r="EA219" s="361">
        <v>2.52</v>
      </c>
      <c r="EE219" s="362">
        <v>8.23</v>
      </c>
      <c r="EF219" s="362">
        <v>70.28</v>
      </c>
      <c r="EG219" s="364">
        <v>21.49</v>
      </c>
    </row>
    <row r="220" ht="12.0" customHeight="1">
      <c r="I220" s="41"/>
      <c r="J220" s="367" t="s">
        <v>253</v>
      </c>
      <c r="K220" s="366" t="s">
        <v>90</v>
      </c>
      <c r="L220" s="185">
        <v>28.0</v>
      </c>
      <c r="M220" s="185">
        <v>5.0</v>
      </c>
      <c r="P220" s="365" t="s">
        <v>252</v>
      </c>
      <c r="Q220" s="366" t="s">
        <v>110</v>
      </c>
      <c r="R220" s="185">
        <v>38.0</v>
      </c>
      <c r="S220" s="185">
        <v>5.0</v>
      </c>
      <c r="V220" s="367" t="s">
        <v>253</v>
      </c>
      <c r="W220" s="366" t="s">
        <v>175</v>
      </c>
      <c r="X220" s="185">
        <v>63.0</v>
      </c>
      <c r="Y220" s="185">
        <v>5.0</v>
      </c>
      <c r="CM220" s="360">
        <v>62.29</v>
      </c>
      <c r="CN220" s="360">
        <v>11.35</v>
      </c>
      <c r="CO220" s="360">
        <v>1.98</v>
      </c>
      <c r="CP220" s="360">
        <v>0.0</v>
      </c>
      <c r="CQ220" s="360">
        <v>1.64</v>
      </c>
      <c r="CR220" s="360">
        <v>22.22</v>
      </c>
      <c r="CS220" s="360">
        <v>0.0</v>
      </c>
      <c r="CT220" s="360">
        <v>0.0</v>
      </c>
      <c r="CU220" s="360">
        <v>0.0</v>
      </c>
      <c r="CV220" s="360">
        <v>0.0</v>
      </c>
      <c r="CW220" s="360">
        <v>0.0</v>
      </c>
      <c r="CX220" s="360">
        <v>0.0</v>
      </c>
      <c r="CY220" s="360">
        <v>0.0</v>
      </c>
      <c r="CZ220" s="360">
        <v>0.0</v>
      </c>
      <c r="DA220" s="360">
        <v>0.52</v>
      </c>
      <c r="DL220" s="83">
        <v>29.0</v>
      </c>
      <c r="DM220" s="361">
        <v>62.29</v>
      </c>
      <c r="DN220" s="361">
        <v>11.35</v>
      </c>
      <c r="DO220" s="362">
        <v>25.84</v>
      </c>
      <c r="DP220" s="361">
        <v>0.0</v>
      </c>
      <c r="DQ220" s="361">
        <v>0.0</v>
      </c>
      <c r="DR220" s="361">
        <v>0.0</v>
      </c>
      <c r="DS220" s="361">
        <v>0.0</v>
      </c>
      <c r="DT220" s="361">
        <v>0.52</v>
      </c>
      <c r="DX220" s="363">
        <v>62.29</v>
      </c>
      <c r="DY220" s="362">
        <v>25.84</v>
      </c>
      <c r="DZ220" s="364">
        <v>11.87</v>
      </c>
      <c r="EA220" s="361">
        <v>0.0</v>
      </c>
      <c r="EE220" s="362">
        <v>62.29</v>
      </c>
      <c r="EF220" s="362">
        <v>25.84</v>
      </c>
      <c r="EG220" s="364">
        <v>11.87</v>
      </c>
    </row>
    <row r="221" ht="12.0" customHeight="1">
      <c r="I221" s="41"/>
      <c r="J221" s="365" t="s">
        <v>252</v>
      </c>
      <c r="K221" s="366" t="s">
        <v>92</v>
      </c>
      <c r="L221" s="185">
        <v>29.0</v>
      </c>
      <c r="M221" s="185">
        <v>5.0</v>
      </c>
      <c r="P221" s="365" t="s">
        <v>252</v>
      </c>
      <c r="Q221" s="366" t="s">
        <v>112</v>
      </c>
      <c r="R221" s="185">
        <v>39.0</v>
      </c>
      <c r="S221" s="185">
        <v>5.0</v>
      </c>
      <c r="V221" s="367" t="s">
        <v>253</v>
      </c>
      <c r="W221" s="366" t="s">
        <v>177</v>
      </c>
      <c r="X221" s="185">
        <v>64.0</v>
      </c>
      <c r="Y221" s="185">
        <v>6.0</v>
      </c>
      <c r="CM221" s="360">
        <v>47.0</v>
      </c>
      <c r="CN221" s="360">
        <v>22.39</v>
      </c>
      <c r="CO221" s="360">
        <v>3.83</v>
      </c>
      <c r="CP221" s="360">
        <v>0.0</v>
      </c>
      <c r="CQ221" s="360">
        <v>1.57</v>
      </c>
      <c r="CR221" s="360">
        <v>24.16</v>
      </c>
      <c r="CS221" s="360">
        <v>0.0</v>
      </c>
      <c r="CT221" s="360">
        <v>0.0</v>
      </c>
      <c r="CU221" s="360">
        <v>0.05</v>
      </c>
      <c r="CV221" s="360">
        <v>0.0</v>
      </c>
      <c r="CW221" s="360">
        <v>0.0</v>
      </c>
      <c r="CX221" s="360">
        <v>0.0</v>
      </c>
      <c r="CY221" s="360">
        <v>0.0</v>
      </c>
      <c r="CZ221" s="360">
        <v>0.0</v>
      </c>
      <c r="DA221" s="360">
        <v>1.0</v>
      </c>
      <c r="DL221" s="83">
        <v>30.0</v>
      </c>
      <c r="DM221" s="361">
        <v>47.0</v>
      </c>
      <c r="DN221" s="361">
        <v>22.39</v>
      </c>
      <c r="DO221" s="362">
        <v>29.610000000000003</v>
      </c>
      <c r="DP221" s="361">
        <v>0.0</v>
      </c>
      <c r="DQ221" s="361">
        <v>0.0</v>
      </c>
      <c r="DR221" s="361">
        <v>0.0</v>
      </c>
      <c r="DS221" s="361">
        <v>0.0</v>
      </c>
      <c r="DT221" s="361">
        <v>1.0</v>
      </c>
      <c r="DX221" s="363">
        <v>47.0</v>
      </c>
      <c r="DY221" s="362">
        <v>29.610000000000003</v>
      </c>
      <c r="DZ221" s="364">
        <v>23.39</v>
      </c>
      <c r="EA221" s="361">
        <v>0.0</v>
      </c>
      <c r="EE221" s="362">
        <v>47.0</v>
      </c>
      <c r="EF221" s="362">
        <v>29.610000000000003</v>
      </c>
      <c r="EG221" s="364">
        <v>23.39</v>
      </c>
    </row>
    <row r="222" ht="12.0" customHeight="1">
      <c r="I222" s="41"/>
      <c r="J222" s="365" t="s">
        <v>252</v>
      </c>
      <c r="K222" s="366" t="s">
        <v>94</v>
      </c>
      <c r="L222" s="185">
        <v>30.0</v>
      </c>
      <c r="M222" s="185">
        <v>4.0</v>
      </c>
      <c r="P222" s="365" t="s">
        <v>252</v>
      </c>
      <c r="Q222" s="366" t="s">
        <v>114</v>
      </c>
      <c r="R222" s="185">
        <v>40.0</v>
      </c>
      <c r="S222" s="185">
        <v>7.0</v>
      </c>
      <c r="X222" s="151" t="s">
        <v>181</v>
      </c>
      <c r="Y222" s="370">
        <f>SUM(Y193:Y221)</f>
        <v>168</v>
      </c>
      <c r="CM222" s="360">
        <v>57.05</v>
      </c>
      <c r="CN222" s="360">
        <v>12.89</v>
      </c>
      <c r="CO222" s="360">
        <v>3.61</v>
      </c>
      <c r="CP222" s="360">
        <v>0.0</v>
      </c>
      <c r="CQ222" s="360">
        <v>0.0</v>
      </c>
      <c r="CR222" s="360">
        <v>26.05</v>
      </c>
      <c r="CS222" s="360">
        <v>0.0</v>
      </c>
      <c r="CT222" s="360">
        <v>0.0</v>
      </c>
      <c r="CU222" s="360">
        <v>0.0</v>
      </c>
      <c r="CV222" s="360">
        <v>0.0</v>
      </c>
      <c r="CW222" s="360">
        <v>0.0</v>
      </c>
      <c r="CX222" s="360">
        <v>0.0</v>
      </c>
      <c r="CY222" s="360">
        <v>0.0</v>
      </c>
      <c r="CZ222" s="360">
        <v>0.0</v>
      </c>
      <c r="DA222" s="360">
        <v>0.4</v>
      </c>
      <c r="DL222" s="83">
        <v>31.0</v>
      </c>
      <c r="DM222" s="361">
        <v>57.05</v>
      </c>
      <c r="DN222" s="361">
        <v>12.89</v>
      </c>
      <c r="DO222" s="362">
        <v>29.66</v>
      </c>
      <c r="DP222" s="361">
        <v>0.0</v>
      </c>
      <c r="DQ222" s="361">
        <v>0.0</v>
      </c>
      <c r="DR222" s="361">
        <v>0.0</v>
      </c>
      <c r="DS222" s="361">
        <v>0.0</v>
      </c>
      <c r="DT222" s="361">
        <v>0.4</v>
      </c>
      <c r="DX222" s="363">
        <v>57.05</v>
      </c>
      <c r="DY222" s="362">
        <v>29.66</v>
      </c>
      <c r="DZ222" s="364">
        <v>13.290000000000001</v>
      </c>
      <c r="EA222" s="361">
        <v>0.0</v>
      </c>
      <c r="EE222" s="362">
        <v>57.05</v>
      </c>
      <c r="EF222" s="362">
        <v>29.66</v>
      </c>
      <c r="EG222" s="364">
        <v>13.290000000000001</v>
      </c>
    </row>
    <row r="223" ht="12.0" customHeight="1">
      <c r="I223" s="41"/>
      <c r="J223" s="365" t="s">
        <v>252</v>
      </c>
      <c r="K223" s="366" t="s">
        <v>96</v>
      </c>
      <c r="L223" s="185">
        <v>31.0</v>
      </c>
      <c r="M223" s="185">
        <v>5.0</v>
      </c>
      <c r="P223" s="365" t="s">
        <v>252</v>
      </c>
      <c r="Q223" s="366" t="s">
        <v>116</v>
      </c>
      <c r="R223" s="185">
        <v>41.0</v>
      </c>
      <c r="S223" s="185">
        <v>4.0</v>
      </c>
      <c r="CM223" s="360">
        <v>47.47</v>
      </c>
      <c r="CN223" s="360">
        <v>19.91</v>
      </c>
      <c r="CO223" s="360">
        <v>1.09</v>
      </c>
      <c r="CP223" s="360">
        <v>0.0</v>
      </c>
      <c r="CQ223" s="360">
        <v>3.55</v>
      </c>
      <c r="CR223" s="360">
        <v>27.0</v>
      </c>
      <c r="CS223" s="360">
        <v>0.0</v>
      </c>
      <c r="CT223" s="360">
        <v>0.0</v>
      </c>
      <c r="CU223" s="360">
        <v>0.0</v>
      </c>
      <c r="CV223" s="360">
        <v>0.0</v>
      </c>
      <c r="CW223" s="360">
        <v>0.0</v>
      </c>
      <c r="CX223" s="360">
        <v>0.0</v>
      </c>
      <c r="CY223" s="360">
        <v>0.0</v>
      </c>
      <c r="CZ223" s="360">
        <v>0.0</v>
      </c>
      <c r="DA223" s="360">
        <v>0.98</v>
      </c>
      <c r="DL223" s="83">
        <v>32.0</v>
      </c>
      <c r="DM223" s="361">
        <v>47.47</v>
      </c>
      <c r="DN223" s="361">
        <v>19.91</v>
      </c>
      <c r="DO223" s="362">
        <v>31.64</v>
      </c>
      <c r="DP223" s="361">
        <v>0.0</v>
      </c>
      <c r="DQ223" s="361">
        <v>0.0</v>
      </c>
      <c r="DR223" s="361">
        <v>0.0</v>
      </c>
      <c r="DS223" s="361">
        <v>0.0</v>
      </c>
      <c r="DT223" s="361">
        <v>0.98</v>
      </c>
      <c r="DX223" s="363">
        <v>47.47</v>
      </c>
      <c r="DY223" s="362">
        <v>31.64</v>
      </c>
      <c r="DZ223" s="364">
        <v>20.89</v>
      </c>
      <c r="EA223" s="361">
        <v>0.0</v>
      </c>
      <c r="EE223" s="362">
        <v>47.47</v>
      </c>
      <c r="EF223" s="362">
        <v>31.64</v>
      </c>
      <c r="EG223" s="364">
        <v>20.89</v>
      </c>
    </row>
    <row r="224" ht="12.0" customHeight="1">
      <c r="I224" s="41"/>
      <c r="J224" s="365" t="s">
        <v>252</v>
      </c>
      <c r="K224" s="366" t="s">
        <v>98</v>
      </c>
      <c r="L224" s="185">
        <v>32.0</v>
      </c>
      <c r="M224" s="185">
        <v>6.0</v>
      </c>
      <c r="P224" s="365" t="s">
        <v>252</v>
      </c>
      <c r="Q224" s="366" t="s">
        <v>116</v>
      </c>
      <c r="R224" s="185">
        <v>42.0</v>
      </c>
      <c r="S224" s="185">
        <v>8.0</v>
      </c>
      <c r="CM224" s="360">
        <v>48.47</v>
      </c>
      <c r="CN224" s="360">
        <v>12.86</v>
      </c>
      <c r="CO224" s="360">
        <v>4.02</v>
      </c>
      <c r="CP224" s="360">
        <v>1.26</v>
      </c>
      <c r="CQ224" s="360">
        <v>2.36</v>
      </c>
      <c r="CR224" s="360">
        <v>30.8</v>
      </c>
      <c r="CS224" s="360">
        <v>0.0</v>
      </c>
      <c r="CT224" s="360">
        <v>0.0</v>
      </c>
      <c r="CU224" s="360">
        <v>0.0</v>
      </c>
      <c r="CV224" s="360">
        <v>0.0</v>
      </c>
      <c r="CW224" s="360">
        <v>0.0</v>
      </c>
      <c r="CX224" s="360">
        <v>0.0</v>
      </c>
      <c r="CY224" s="360">
        <v>0.0</v>
      </c>
      <c r="CZ224" s="360">
        <v>0.0</v>
      </c>
      <c r="DA224" s="360">
        <v>0.23</v>
      </c>
      <c r="DL224" s="83">
        <v>33.0</v>
      </c>
      <c r="DM224" s="361">
        <v>48.47</v>
      </c>
      <c r="DN224" s="361">
        <v>12.86</v>
      </c>
      <c r="DO224" s="362">
        <v>38.44</v>
      </c>
      <c r="DP224" s="361">
        <v>0.0</v>
      </c>
      <c r="DQ224" s="361">
        <v>0.0</v>
      </c>
      <c r="DR224" s="361">
        <v>0.0</v>
      </c>
      <c r="DS224" s="361">
        <v>0.0</v>
      </c>
      <c r="DT224" s="361">
        <v>0.23</v>
      </c>
      <c r="DX224" s="363">
        <v>48.47</v>
      </c>
      <c r="DY224" s="362">
        <v>38.44</v>
      </c>
      <c r="DZ224" s="364">
        <v>13.09</v>
      </c>
      <c r="EA224" s="361">
        <v>0.0</v>
      </c>
      <c r="EE224" s="362">
        <v>48.47</v>
      </c>
      <c r="EF224" s="362">
        <v>38.44</v>
      </c>
      <c r="EG224" s="364">
        <v>13.09</v>
      </c>
    </row>
    <row r="225" ht="12.0" customHeight="1">
      <c r="I225" s="41"/>
      <c r="J225" s="365" t="s">
        <v>252</v>
      </c>
      <c r="K225" s="366" t="s">
        <v>100</v>
      </c>
      <c r="L225" s="185">
        <v>33.0</v>
      </c>
      <c r="M225" s="185">
        <v>5.0</v>
      </c>
      <c r="P225" s="365" t="s">
        <v>252</v>
      </c>
      <c r="Q225" s="366" t="s">
        <v>121</v>
      </c>
      <c r="R225" s="185">
        <v>43.0</v>
      </c>
      <c r="S225" s="185">
        <v>7.0</v>
      </c>
      <c r="CM225" s="360">
        <v>75.99</v>
      </c>
      <c r="CN225" s="360">
        <v>0.01</v>
      </c>
      <c r="CO225" s="360">
        <v>0.0</v>
      </c>
      <c r="CP225" s="360">
        <v>0.0</v>
      </c>
      <c r="CQ225" s="360">
        <v>3.59</v>
      </c>
      <c r="CR225" s="360">
        <v>16.65</v>
      </c>
      <c r="CS225" s="360">
        <v>0.0</v>
      </c>
      <c r="CT225" s="360">
        <v>0.0</v>
      </c>
      <c r="CU225" s="360">
        <v>2.08</v>
      </c>
      <c r="CV225" s="360">
        <v>0.0</v>
      </c>
      <c r="CW225" s="360">
        <v>0.0</v>
      </c>
      <c r="CX225" s="360">
        <v>0.0</v>
      </c>
      <c r="CY225" s="360">
        <v>0.0</v>
      </c>
      <c r="CZ225" s="360">
        <v>0.0</v>
      </c>
      <c r="DA225" s="360">
        <v>1.68</v>
      </c>
      <c r="DL225" s="83">
        <v>34.0</v>
      </c>
      <c r="DM225" s="361">
        <v>75.99</v>
      </c>
      <c r="DN225" s="361">
        <v>0.01</v>
      </c>
      <c r="DO225" s="362">
        <v>22.32</v>
      </c>
      <c r="DP225" s="361">
        <v>0.0</v>
      </c>
      <c r="DQ225" s="361">
        <v>0.0</v>
      </c>
      <c r="DR225" s="361">
        <v>0.0</v>
      </c>
      <c r="DS225" s="361">
        <v>0.0</v>
      </c>
      <c r="DT225" s="361">
        <v>1.68</v>
      </c>
      <c r="DX225" s="363">
        <v>75.99</v>
      </c>
      <c r="DY225" s="362">
        <v>22.32</v>
      </c>
      <c r="DZ225" s="364">
        <v>1.69</v>
      </c>
      <c r="EA225" s="361">
        <v>0.0</v>
      </c>
      <c r="EE225" s="362">
        <v>75.99</v>
      </c>
      <c r="EF225" s="362">
        <v>22.32</v>
      </c>
      <c r="EG225" s="364">
        <v>1.69</v>
      </c>
    </row>
    <row r="226" ht="12.0" customHeight="1">
      <c r="I226" s="41"/>
      <c r="J226" s="365" t="s">
        <v>252</v>
      </c>
      <c r="K226" s="366" t="s">
        <v>102</v>
      </c>
      <c r="L226" s="185">
        <v>34.0</v>
      </c>
      <c r="M226" s="185">
        <v>4.0</v>
      </c>
      <c r="P226" s="365" t="s">
        <v>252</v>
      </c>
      <c r="Q226" s="366" t="s">
        <v>123</v>
      </c>
      <c r="R226" s="185">
        <v>44.0</v>
      </c>
      <c r="S226" s="185">
        <v>6.0</v>
      </c>
      <c r="CM226" s="360">
        <v>50.9</v>
      </c>
      <c r="CN226" s="360">
        <v>10.96</v>
      </c>
      <c r="CO226" s="360">
        <v>6.54</v>
      </c>
      <c r="CP226" s="360">
        <v>0.0</v>
      </c>
      <c r="CQ226" s="360">
        <v>0.41</v>
      </c>
      <c r="CR226" s="360">
        <v>30.79</v>
      </c>
      <c r="CS226" s="360">
        <v>0.0</v>
      </c>
      <c r="CT226" s="360">
        <v>0.0</v>
      </c>
      <c r="CU226" s="360">
        <v>0.0</v>
      </c>
      <c r="CV226" s="360">
        <v>0.0</v>
      </c>
      <c r="CW226" s="360">
        <v>0.0</v>
      </c>
      <c r="CX226" s="360">
        <v>0.0</v>
      </c>
      <c r="CY226" s="360">
        <v>0.0</v>
      </c>
      <c r="CZ226" s="360">
        <v>0.0</v>
      </c>
      <c r="DA226" s="360">
        <v>0.4</v>
      </c>
      <c r="DL226" s="83">
        <v>35.0</v>
      </c>
      <c r="DM226" s="361">
        <v>50.9</v>
      </c>
      <c r="DN226" s="361">
        <v>10.96</v>
      </c>
      <c r="DO226" s="362">
        <v>37.74</v>
      </c>
      <c r="DP226" s="361">
        <v>0.0</v>
      </c>
      <c r="DQ226" s="361">
        <v>0.0</v>
      </c>
      <c r="DR226" s="361">
        <v>0.0</v>
      </c>
      <c r="DS226" s="361">
        <v>0.0</v>
      </c>
      <c r="DT226" s="361">
        <v>0.4</v>
      </c>
      <c r="DX226" s="363">
        <v>50.9</v>
      </c>
      <c r="DY226" s="362">
        <v>37.74</v>
      </c>
      <c r="DZ226" s="364">
        <v>11.360000000000001</v>
      </c>
      <c r="EA226" s="361">
        <v>0.0</v>
      </c>
      <c r="EE226" s="362">
        <v>50.9</v>
      </c>
      <c r="EF226" s="362">
        <v>37.74</v>
      </c>
      <c r="EG226" s="364">
        <v>11.360000000000001</v>
      </c>
    </row>
    <row r="227" ht="12.0" customHeight="1">
      <c r="I227" s="41"/>
      <c r="J227" s="365" t="s">
        <v>252</v>
      </c>
      <c r="K227" s="366" t="s">
        <v>102</v>
      </c>
      <c r="L227" s="185">
        <v>35.0</v>
      </c>
      <c r="M227" s="185">
        <v>4.0</v>
      </c>
      <c r="P227" s="365" t="s">
        <v>252</v>
      </c>
      <c r="Q227" s="366" t="s">
        <v>125</v>
      </c>
      <c r="R227" s="185">
        <v>45.0</v>
      </c>
      <c r="S227" s="185">
        <v>7.0</v>
      </c>
      <c r="CM227" s="360">
        <v>46.97</v>
      </c>
      <c r="CN227" s="360">
        <v>22.37</v>
      </c>
      <c r="CO227" s="360">
        <v>2.24</v>
      </c>
      <c r="CP227" s="360">
        <v>0.0</v>
      </c>
      <c r="CQ227" s="360">
        <v>0.12</v>
      </c>
      <c r="CR227" s="360">
        <v>28.14</v>
      </c>
      <c r="CS227" s="360">
        <v>0.0</v>
      </c>
      <c r="CT227" s="360">
        <v>0.02</v>
      </c>
      <c r="CU227" s="360">
        <v>0.0</v>
      </c>
      <c r="CV227" s="360">
        <v>0.0</v>
      </c>
      <c r="CW227" s="360">
        <v>0.0</v>
      </c>
      <c r="CX227" s="360">
        <v>0.0</v>
      </c>
      <c r="CY227" s="360">
        <v>0.0</v>
      </c>
      <c r="CZ227" s="360">
        <v>0.0</v>
      </c>
      <c r="DA227" s="360">
        <v>0.14</v>
      </c>
      <c r="DL227" s="83">
        <v>36.0</v>
      </c>
      <c r="DM227" s="361">
        <v>46.97</v>
      </c>
      <c r="DN227" s="361">
        <v>22.37</v>
      </c>
      <c r="DO227" s="362">
        <v>30.5</v>
      </c>
      <c r="DP227" s="361">
        <v>0.0</v>
      </c>
      <c r="DQ227" s="361">
        <v>0.02</v>
      </c>
      <c r="DR227" s="361">
        <v>0.0</v>
      </c>
      <c r="DS227" s="361">
        <v>0.0</v>
      </c>
      <c r="DT227" s="361">
        <v>0.14</v>
      </c>
      <c r="DX227" s="363">
        <v>46.97</v>
      </c>
      <c r="DY227" s="362">
        <v>30.5</v>
      </c>
      <c r="DZ227" s="364">
        <v>22.53</v>
      </c>
      <c r="EA227" s="361">
        <v>0.0</v>
      </c>
      <c r="EE227" s="362">
        <v>46.97</v>
      </c>
      <c r="EF227" s="362">
        <v>30.5</v>
      </c>
      <c r="EG227" s="364">
        <v>22.53</v>
      </c>
    </row>
    <row r="228" ht="12.0" customHeight="1">
      <c r="I228" s="41"/>
      <c r="J228" s="365" t="s">
        <v>252</v>
      </c>
      <c r="K228" s="366" t="s">
        <v>107</v>
      </c>
      <c r="L228" s="185">
        <v>36.0</v>
      </c>
      <c r="M228" s="185">
        <v>5.0</v>
      </c>
      <c r="R228" s="151" t="s">
        <v>181</v>
      </c>
      <c r="S228" s="370">
        <f>SUM(S193:S227)</f>
        <v>204</v>
      </c>
      <c r="BF228" s="371"/>
      <c r="CM228" s="360">
        <v>37.71</v>
      </c>
      <c r="CN228" s="360">
        <v>10.7</v>
      </c>
      <c r="CO228" s="360">
        <v>19.45</v>
      </c>
      <c r="CP228" s="360">
        <v>0.0</v>
      </c>
      <c r="CQ228" s="360">
        <v>0.41</v>
      </c>
      <c r="CR228" s="360">
        <v>31.09</v>
      </c>
      <c r="CS228" s="360">
        <v>0.0</v>
      </c>
      <c r="CT228" s="360">
        <v>0.0</v>
      </c>
      <c r="CU228" s="360">
        <v>0.0</v>
      </c>
      <c r="CV228" s="360">
        <v>0.0</v>
      </c>
      <c r="CW228" s="360">
        <v>0.0</v>
      </c>
      <c r="CX228" s="360">
        <v>0.0</v>
      </c>
      <c r="CY228" s="360">
        <v>0.0</v>
      </c>
      <c r="CZ228" s="360">
        <v>0.0</v>
      </c>
      <c r="DA228" s="360">
        <v>0.64</v>
      </c>
      <c r="DL228" s="83">
        <v>37.0</v>
      </c>
      <c r="DM228" s="361">
        <v>37.71</v>
      </c>
      <c r="DN228" s="361">
        <v>10.7</v>
      </c>
      <c r="DO228" s="362">
        <v>50.95</v>
      </c>
      <c r="DP228" s="361">
        <v>0.0</v>
      </c>
      <c r="DQ228" s="361">
        <v>0.0</v>
      </c>
      <c r="DR228" s="361">
        <v>0.0</v>
      </c>
      <c r="DS228" s="361">
        <v>0.0</v>
      </c>
      <c r="DT228" s="361">
        <v>0.64</v>
      </c>
      <c r="DX228" s="363">
        <v>37.71</v>
      </c>
      <c r="DY228" s="362">
        <v>50.95</v>
      </c>
      <c r="DZ228" s="364">
        <v>11.34</v>
      </c>
      <c r="EA228" s="361">
        <v>0.0</v>
      </c>
      <c r="EE228" s="362">
        <v>37.71</v>
      </c>
      <c r="EF228" s="362">
        <v>50.95</v>
      </c>
      <c r="EG228" s="364">
        <v>11.34</v>
      </c>
    </row>
    <row r="229" ht="12.0" customHeight="1">
      <c r="I229" s="41"/>
      <c r="J229" s="365" t="s">
        <v>252</v>
      </c>
      <c r="K229" s="366" t="s">
        <v>39</v>
      </c>
      <c r="L229" s="185">
        <v>37.0</v>
      </c>
      <c r="M229" s="185">
        <v>6.0</v>
      </c>
      <c r="CM229" s="360">
        <v>40.96</v>
      </c>
      <c r="CN229" s="360">
        <v>36.53</v>
      </c>
      <c r="CO229" s="360">
        <v>0.34</v>
      </c>
      <c r="CP229" s="360">
        <v>0.0</v>
      </c>
      <c r="CQ229" s="360">
        <v>10.4</v>
      </c>
      <c r="CR229" s="360">
        <v>9.07</v>
      </c>
      <c r="CS229" s="360">
        <v>0.0</v>
      </c>
      <c r="CT229" s="360">
        <v>0.0</v>
      </c>
      <c r="CU229" s="360">
        <v>0.0</v>
      </c>
      <c r="CV229" s="360">
        <v>0.0</v>
      </c>
      <c r="CW229" s="360">
        <v>0.0</v>
      </c>
      <c r="CX229" s="360">
        <v>0.0</v>
      </c>
      <c r="CY229" s="360">
        <v>0.0</v>
      </c>
      <c r="CZ229" s="360">
        <v>0.0</v>
      </c>
      <c r="DA229" s="360">
        <v>2.7</v>
      </c>
      <c r="DL229" s="83">
        <v>38.0</v>
      </c>
      <c r="DM229" s="361">
        <v>40.96</v>
      </c>
      <c r="DN229" s="361">
        <v>36.53</v>
      </c>
      <c r="DO229" s="362">
        <v>19.810000000000002</v>
      </c>
      <c r="DP229" s="361">
        <v>0.0</v>
      </c>
      <c r="DQ229" s="361">
        <v>0.0</v>
      </c>
      <c r="DR229" s="361">
        <v>0.0</v>
      </c>
      <c r="DS229" s="361">
        <v>0.0</v>
      </c>
      <c r="DT229" s="361">
        <v>2.7</v>
      </c>
      <c r="DX229" s="363">
        <v>40.96</v>
      </c>
      <c r="DY229" s="362">
        <v>19.810000000000002</v>
      </c>
      <c r="DZ229" s="364">
        <v>39.230000000000004</v>
      </c>
      <c r="EA229" s="361">
        <v>0.0</v>
      </c>
      <c r="EE229" s="362">
        <v>40.96</v>
      </c>
      <c r="EF229" s="362">
        <v>19.810000000000002</v>
      </c>
      <c r="EG229" s="364">
        <v>39.230000000000004</v>
      </c>
    </row>
    <row r="230" ht="12.0" customHeight="1">
      <c r="I230" s="41"/>
      <c r="J230" s="365" t="s">
        <v>252</v>
      </c>
      <c r="K230" s="366" t="s">
        <v>110</v>
      </c>
      <c r="L230" s="185">
        <v>38.0</v>
      </c>
      <c r="M230" s="185">
        <v>5.0</v>
      </c>
      <c r="CL230" s="360">
        <v>29.98</v>
      </c>
      <c r="CM230" s="360">
        <v>32.7</v>
      </c>
      <c r="CN230" s="360">
        <v>0.59</v>
      </c>
      <c r="CO230" s="360">
        <v>0.0</v>
      </c>
      <c r="CP230" s="360">
        <v>18.9</v>
      </c>
      <c r="CQ230" s="360">
        <v>15.63</v>
      </c>
      <c r="CR230" s="360">
        <v>0.0</v>
      </c>
      <c r="CS230" s="360">
        <v>0.0</v>
      </c>
      <c r="CT230" s="360">
        <v>0.0</v>
      </c>
      <c r="CU230" s="360">
        <v>0.0</v>
      </c>
      <c r="CV230" s="360">
        <v>0.0</v>
      </c>
      <c r="CW230" s="360">
        <v>0.0</v>
      </c>
      <c r="CX230" s="360">
        <v>0.0</v>
      </c>
      <c r="CY230" s="360">
        <v>0.0</v>
      </c>
      <c r="CZ230" s="360">
        <v>2.2</v>
      </c>
      <c r="DK230" s="83">
        <v>39.0</v>
      </c>
      <c r="DL230" s="361">
        <v>29.98</v>
      </c>
      <c r="DM230" s="361">
        <v>32.7</v>
      </c>
      <c r="DN230" s="362">
        <v>35.12</v>
      </c>
      <c r="DO230" s="361">
        <v>0.0</v>
      </c>
      <c r="DP230" s="361">
        <v>0.0</v>
      </c>
      <c r="DQ230" s="361">
        <v>0.0</v>
      </c>
      <c r="DR230" s="361">
        <v>0.0</v>
      </c>
      <c r="DS230" s="361">
        <v>2.2</v>
      </c>
      <c r="DW230" s="361">
        <v>29.98</v>
      </c>
      <c r="DX230" s="362">
        <v>35.12</v>
      </c>
      <c r="DY230" s="364">
        <v>34.900000000000006</v>
      </c>
      <c r="DZ230" s="361">
        <v>0.0</v>
      </c>
      <c r="ED230" s="362">
        <v>29.98</v>
      </c>
      <c r="EE230" s="362">
        <v>35.12</v>
      </c>
      <c r="EF230" s="364">
        <v>34.900000000000006</v>
      </c>
    </row>
    <row r="231" ht="12.0" customHeight="1">
      <c r="I231" s="41"/>
      <c r="J231" s="365" t="s">
        <v>252</v>
      </c>
      <c r="K231" s="366" t="s">
        <v>112</v>
      </c>
      <c r="L231" s="185">
        <v>39.0</v>
      </c>
      <c r="M231" s="185">
        <v>5.0</v>
      </c>
      <c r="CL231" s="360">
        <v>38.57</v>
      </c>
      <c r="CM231" s="360">
        <v>18.17</v>
      </c>
      <c r="CN231" s="360">
        <v>7.16</v>
      </c>
      <c r="CO231" s="360">
        <v>0.0</v>
      </c>
      <c r="CP231" s="360">
        <v>18.3</v>
      </c>
      <c r="CQ231" s="360">
        <v>17.45</v>
      </c>
      <c r="CR231" s="360">
        <v>0.0</v>
      </c>
      <c r="CS231" s="360">
        <v>0.0</v>
      </c>
      <c r="CT231" s="360">
        <v>0.34</v>
      </c>
      <c r="CU231" s="360">
        <v>0.0</v>
      </c>
      <c r="CV231" s="360">
        <v>0.0</v>
      </c>
      <c r="CW231" s="360">
        <v>0.0</v>
      </c>
      <c r="CX231" s="360">
        <v>0.0</v>
      </c>
      <c r="CY231" s="360">
        <v>0.0</v>
      </c>
      <c r="CZ231" s="360">
        <v>0.01</v>
      </c>
      <c r="DK231" s="83">
        <v>40.0</v>
      </c>
      <c r="DL231" s="361">
        <v>38.57</v>
      </c>
      <c r="DM231" s="361">
        <v>18.17</v>
      </c>
      <c r="DN231" s="362">
        <v>43.25</v>
      </c>
      <c r="DO231" s="361">
        <v>0.0</v>
      </c>
      <c r="DP231" s="361">
        <v>0.0</v>
      </c>
      <c r="DQ231" s="361">
        <v>0.0</v>
      </c>
      <c r="DR231" s="361">
        <v>0.0</v>
      </c>
      <c r="DS231" s="361">
        <v>0.01</v>
      </c>
      <c r="DW231" s="363">
        <v>38.57</v>
      </c>
      <c r="DX231" s="362">
        <v>43.25</v>
      </c>
      <c r="DY231" s="364">
        <v>18.180000000000003</v>
      </c>
      <c r="DZ231" s="361">
        <v>0.0</v>
      </c>
      <c r="ED231" s="362">
        <v>38.57</v>
      </c>
      <c r="EE231" s="362">
        <v>43.25</v>
      </c>
      <c r="EF231" s="364">
        <v>18.180000000000003</v>
      </c>
    </row>
    <row r="232" ht="12.0" customHeight="1">
      <c r="I232" s="41"/>
      <c r="J232" s="365" t="s">
        <v>252</v>
      </c>
      <c r="K232" s="366" t="s">
        <v>114</v>
      </c>
      <c r="L232" s="185">
        <v>40.0</v>
      </c>
      <c r="M232" s="185">
        <v>7.0</v>
      </c>
      <c r="CL232" s="360">
        <v>37.91</v>
      </c>
      <c r="CM232" s="360">
        <v>0.0</v>
      </c>
      <c r="CN232" s="360">
        <v>0.0</v>
      </c>
      <c r="CO232" s="360">
        <v>0.0</v>
      </c>
      <c r="CP232" s="360">
        <v>26.44</v>
      </c>
      <c r="CQ232" s="360">
        <v>2.49</v>
      </c>
      <c r="CR232" s="360">
        <v>0.0</v>
      </c>
      <c r="CS232" s="360">
        <v>0.0</v>
      </c>
      <c r="CT232" s="360">
        <v>0.49</v>
      </c>
      <c r="CU232" s="360">
        <v>0.0</v>
      </c>
      <c r="CV232" s="360">
        <v>1.89</v>
      </c>
      <c r="CW232" s="360">
        <v>23.2</v>
      </c>
      <c r="CX232" s="360">
        <v>0.0</v>
      </c>
      <c r="CY232" s="360">
        <v>0.0</v>
      </c>
      <c r="CZ232" s="360">
        <v>7.58</v>
      </c>
      <c r="DK232" s="83">
        <v>41.0</v>
      </c>
      <c r="DL232" s="361">
        <v>37.91</v>
      </c>
      <c r="DM232" s="361">
        <v>0.0</v>
      </c>
      <c r="DN232" s="362">
        <v>31.31</v>
      </c>
      <c r="DO232" s="361">
        <v>0.0</v>
      </c>
      <c r="DP232" s="361">
        <v>0.0</v>
      </c>
      <c r="DQ232" s="361">
        <v>23.2</v>
      </c>
      <c r="DR232" s="361">
        <v>0.0</v>
      </c>
      <c r="DS232" s="361">
        <v>7.58</v>
      </c>
      <c r="DW232" s="363">
        <v>37.91</v>
      </c>
      <c r="DX232" s="362">
        <v>31.31</v>
      </c>
      <c r="DY232" s="364">
        <v>30.78</v>
      </c>
      <c r="DZ232" s="361">
        <v>0.0</v>
      </c>
      <c r="ED232" s="362">
        <v>37.91</v>
      </c>
      <c r="EE232" s="362">
        <v>31.31</v>
      </c>
      <c r="EF232" s="364">
        <v>30.78</v>
      </c>
    </row>
    <row r="233" ht="12.0" customHeight="1">
      <c r="I233" s="41"/>
      <c r="J233" s="365" t="s">
        <v>252</v>
      </c>
      <c r="K233" s="366" t="s">
        <v>116</v>
      </c>
      <c r="L233" s="185">
        <v>41.0</v>
      </c>
      <c r="M233" s="185">
        <v>4.0</v>
      </c>
      <c r="U233" s="42"/>
      <c r="V233" s="34"/>
      <c r="W233" s="372"/>
      <c r="X233" s="373"/>
      <c r="Y233" s="374"/>
      <c r="Z233" s="375"/>
      <c r="AA233" s="36"/>
      <c r="AB233" s="38"/>
      <c r="AC233" s="376"/>
      <c r="AD233" s="377"/>
      <c r="AE233" s="378"/>
      <c r="AF233" s="38"/>
      <c r="AG233" s="379"/>
      <c r="AH233" s="38"/>
      <c r="AI233" s="380"/>
      <c r="AM233" s="42"/>
      <c r="AN233" s="34"/>
      <c r="AO233" s="372"/>
      <c r="AP233" s="373"/>
      <c r="AQ233" s="374"/>
      <c r="AR233" s="375"/>
      <c r="AS233" s="36"/>
      <c r="AT233" s="38"/>
      <c r="AU233" s="376"/>
      <c r="AV233" s="377"/>
      <c r="AW233" s="378"/>
      <c r="AX233" s="38"/>
      <c r="AY233" s="379"/>
      <c r="AZ233" s="38"/>
      <c r="BA233" s="380"/>
      <c r="BE233" s="41"/>
      <c r="BF233" s="41"/>
      <c r="BG233" s="38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CL233" s="360">
        <v>20.58</v>
      </c>
      <c r="CM233" s="360">
        <v>0.0</v>
      </c>
      <c r="CN233" s="360">
        <v>16.26</v>
      </c>
      <c r="CO233" s="360">
        <v>19.51</v>
      </c>
      <c r="CP233" s="360">
        <v>27.0</v>
      </c>
      <c r="CQ233" s="360">
        <v>1.78</v>
      </c>
      <c r="CR233" s="360">
        <v>1.65</v>
      </c>
      <c r="CS233" s="360">
        <v>0.0</v>
      </c>
      <c r="CT233" s="360">
        <v>0.55</v>
      </c>
      <c r="CU233" s="360">
        <v>0.0</v>
      </c>
      <c r="CV233" s="360">
        <v>0.0</v>
      </c>
      <c r="CW233" s="360">
        <v>6.82</v>
      </c>
      <c r="CX233" s="360">
        <v>2.19</v>
      </c>
      <c r="CY233" s="360">
        <v>0.0</v>
      </c>
      <c r="CZ233" s="360">
        <v>3.66</v>
      </c>
      <c r="DK233" s="83">
        <v>42.0</v>
      </c>
      <c r="DL233" s="361">
        <v>20.58</v>
      </c>
      <c r="DM233" s="361">
        <v>0.0</v>
      </c>
      <c r="DN233" s="362">
        <v>67.28999999999999</v>
      </c>
      <c r="DO233" s="361">
        <v>1.65</v>
      </c>
      <c r="DP233" s="361">
        <v>0.0</v>
      </c>
      <c r="DQ233" s="361">
        <v>6.82</v>
      </c>
      <c r="DR233" s="361">
        <v>0.0</v>
      </c>
      <c r="DS233" s="361">
        <v>3.66</v>
      </c>
      <c r="DW233" s="361">
        <v>20.58</v>
      </c>
      <c r="DX233" s="362">
        <v>67.28999999999999</v>
      </c>
      <c r="DY233" s="364">
        <v>10.48</v>
      </c>
      <c r="DZ233" s="361">
        <v>1.65</v>
      </c>
      <c r="ED233" s="362">
        <v>22.229999999999997</v>
      </c>
      <c r="EE233" s="362">
        <v>67.28999999999999</v>
      </c>
      <c r="EF233" s="364">
        <v>10.48</v>
      </c>
    </row>
    <row r="234" ht="12.0" customHeight="1">
      <c r="I234" s="41"/>
      <c r="J234" s="365" t="s">
        <v>252</v>
      </c>
      <c r="K234" s="366" t="s">
        <v>116</v>
      </c>
      <c r="L234" s="185">
        <v>42.0</v>
      </c>
      <c r="M234" s="185">
        <v>8.0</v>
      </c>
      <c r="U234" s="60" t="s">
        <v>12</v>
      </c>
      <c r="V234" s="61" t="s">
        <v>13</v>
      </c>
      <c r="W234" s="61" t="s">
        <v>14</v>
      </c>
      <c r="X234" s="61" t="s">
        <v>15</v>
      </c>
      <c r="Y234" s="61" t="s">
        <v>16</v>
      </c>
      <c r="Z234" s="61" t="s">
        <v>17</v>
      </c>
      <c r="AA234" s="382" t="s">
        <v>18</v>
      </c>
      <c r="AB234" s="382" t="s">
        <v>19</v>
      </c>
      <c r="AC234" s="61" t="s">
        <v>20</v>
      </c>
      <c r="AD234" s="61" t="s">
        <v>21</v>
      </c>
      <c r="AE234" s="61" t="s">
        <v>22</v>
      </c>
      <c r="AF234" s="382" t="s">
        <v>23</v>
      </c>
      <c r="AG234" s="61" t="s">
        <v>24</v>
      </c>
      <c r="AH234" s="61" t="s">
        <v>25</v>
      </c>
      <c r="AI234" s="383" t="s">
        <v>26</v>
      </c>
      <c r="AM234" s="60" t="s">
        <v>12</v>
      </c>
      <c r="AN234" s="61" t="s">
        <v>13</v>
      </c>
      <c r="AO234" s="61" t="s">
        <v>14</v>
      </c>
      <c r="AP234" s="61" t="s">
        <v>15</v>
      </c>
      <c r="AQ234" s="61" t="s">
        <v>16</v>
      </c>
      <c r="AR234" s="61" t="s">
        <v>17</v>
      </c>
      <c r="AS234" s="382" t="s">
        <v>18</v>
      </c>
      <c r="AT234" s="382" t="s">
        <v>19</v>
      </c>
      <c r="AU234" s="61" t="s">
        <v>20</v>
      </c>
      <c r="AV234" s="61" t="s">
        <v>21</v>
      </c>
      <c r="AW234" s="61" t="s">
        <v>22</v>
      </c>
      <c r="AX234" s="382" t="s">
        <v>23</v>
      </c>
      <c r="AY234" s="61" t="s">
        <v>24</v>
      </c>
      <c r="AZ234" s="61" t="s">
        <v>25</v>
      </c>
      <c r="BA234" s="383" t="s">
        <v>26</v>
      </c>
      <c r="BE234" s="41"/>
      <c r="BF234" s="41"/>
      <c r="BG234" s="384" t="s">
        <v>261</v>
      </c>
      <c r="BH234" s="148"/>
      <c r="BI234" s="148"/>
      <c r="BJ234" s="148"/>
      <c r="BK234" s="148"/>
      <c r="BL234" s="148"/>
      <c r="BM234" s="148"/>
      <c r="BN234" s="148"/>
      <c r="BO234" s="148"/>
      <c r="BP234" s="148"/>
      <c r="BQ234" s="148"/>
      <c r="BR234" s="148"/>
      <c r="BS234" s="148"/>
      <c r="BT234" s="148"/>
      <c r="BU234" s="149"/>
      <c r="BV234" s="41"/>
      <c r="BW234" s="41"/>
      <c r="CL234" s="360">
        <v>21.9</v>
      </c>
      <c r="CM234" s="360">
        <v>0.0</v>
      </c>
      <c r="CN234" s="360">
        <v>28.33</v>
      </c>
      <c r="CO234" s="360">
        <v>9.78</v>
      </c>
      <c r="CP234" s="360">
        <v>17.3</v>
      </c>
      <c r="CQ234" s="360">
        <v>1.34</v>
      </c>
      <c r="CR234" s="360">
        <v>12.2</v>
      </c>
      <c r="CS234" s="360">
        <v>0.0</v>
      </c>
      <c r="CT234" s="360">
        <v>0.08</v>
      </c>
      <c r="CU234" s="360">
        <v>0.0</v>
      </c>
      <c r="CV234" s="360">
        <v>0.0</v>
      </c>
      <c r="CW234" s="360">
        <v>3.0</v>
      </c>
      <c r="CX234" s="360">
        <v>0.0</v>
      </c>
      <c r="CY234" s="360">
        <v>0.0</v>
      </c>
      <c r="CZ234" s="360">
        <v>6.07</v>
      </c>
      <c r="DK234" s="83">
        <v>43.0</v>
      </c>
      <c r="DL234" s="361">
        <v>21.9</v>
      </c>
      <c r="DM234" s="361">
        <v>0.0</v>
      </c>
      <c r="DN234" s="362">
        <v>56.83</v>
      </c>
      <c r="DO234" s="361">
        <v>12.2</v>
      </c>
      <c r="DP234" s="361">
        <v>0.0</v>
      </c>
      <c r="DQ234" s="361">
        <v>3.0</v>
      </c>
      <c r="DR234" s="361">
        <v>0.0</v>
      </c>
      <c r="DS234" s="361">
        <v>6.07</v>
      </c>
      <c r="DW234" s="361">
        <v>21.9</v>
      </c>
      <c r="DX234" s="362">
        <v>56.83</v>
      </c>
      <c r="DY234" s="364">
        <v>9.07</v>
      </c>
      <c r="DZ234" s="361">
        <v>12.2</v>
      </c>
      <c r="ED234" s="362">
        <v>34.099999999999994</v>
      </c>
      <c r="EE234" s="362">
        <v>56.83</v>
      </c>
      <c r="EF234" s="364">
        <v>9.07</v>
      </c>
    </row>
    <row r="235" ht="12.0" customHeight="1">
      <c r="I235" s="41"/>
      <c r="J235" s="365" t="s">
        <v>252</v>
      </c>
      <c r="K235" s="366" t="s">
        <v>121</v>
      </c>
      <c r="L235" s="185">
        <v>43.0</v>
      </c>
      <c r="M235" s="185">
        <v>7.0</v>
      </c>
      <c r="S235" s="385" t="s">
        <v>262</v>
      </c>
      <c r="T235" s="154">
        <v>1.0</v>
      </c>
      <c r="U235" s="386">
        <v>41.99</v>
      </c>
      <c r="V235" s="387">
        <v>12.59</v>
      </c>
      <c r="W235" s="388">
        <v>0.0</v>
      </c>
      <c r="X235" s="388">
        <v>0.0</v>
      </c>
      <c r="Y235" s="387">
        <v>20.73</v>
      </c>
      <c r="Z235" s="387">
        <v>1.27</v>
      </c>
      <c r="AA235" s="387">
        <v>1.61</v>
      </c>
      <c r="AB235" s="388">
        <v>0.0</v>
      </c>
      <c r="AC235" s="387">
        <v>6.7</v>
      </c>
      <c r="AD235" s="388">
        <v>0.0</v>
      </c>
      <c r="AE235" s="387">
        <v>4.73</v>
      </c>
      <c r="AF235" s="388">
        <v>0.0</v>
      </c>
      <c r="AG235" s="388">
        <v>0.0</v>
      </c>
      <c r="AH235" s="387">
        <v>5.78</v>
      </c>
      <c r="AI235" s="389">
        <v>4.6</v>
      </c>
      <c r="AK235" s="385" t="s">
        <v>263</v>
      </c>
      <c r="AL235" s="154">
        <v>3.0</v>
      </c>
      <c r="AM235" s="390">
        <v>54.98</v>
      </c>
      <c r="AN235" s="387">
        <v>7.94</v>
      </c>
      <c r="AO235" s="387">
        <v>10.84</v>
      </c>
      <c r="AP235" s="387">
        <v>10.5</v>
      </c>
      <c r="AQ235" s="387">
        <v>7.99</v>
      </c>
      <c r="AR235" s="387">
        <v>0.63</v>
      </c>
      <c r="AS235" s="387">
        <v>4.65</v>
      </c>
      <c r="AT235" s="388">
        <v>0.0</v>
      </c>
      <c r="AU235" s="387">
        <v>0.24</v>
      </c>
      <c r="AV235" s="388">
        <v>0.0</v>
      </c>
      <c r="AW235" s="387">
        <v>0.77</v>
      </c>
      <c r="AX235" s="388">
        <v>0.0</v>
      </c>
      <c r="AY235" s="388">
        <v>0.0</v>
      </c>
      <c r="AZ235" s="387">
        <v>0.41</v>
      </c>
      <c r="BA235" s="389">
        <v>1.05</v>
      </c>
      <c r="BE235" s="41"/>
      <c r="BF235" s="41"/>
      <c r="BG235" s="42"/>
      <c r="BH235" s="34"/>
      <c r="BI235" s="372"/>
      <c r="BJ235" s="373"/>
      <c r="BK235" s="374"/>
      <c r="BL235" s="375"/>
      <c r="BM235" s="36"/>
      <c r="BN235" s="38"/>
      <c r="BO235" s="376"/>
      <c r="BP235" s="377"/>
      <c r="BQ235" s="378"/>
      <c r="BR235" s="38"/>
      <c r="BS235" s="379"/>
      <c r="BT235" s="38"/>
      <c r="BU235" s="380"/>
      <c r="BV235" s="41"/>
      <c r="BW235" s="41"/>
      <c r="CL235" s="360">
        <v>14.1</v>
      </c>
      <c r="CM235" s="360">
        <v>0.0</v>
      </c>
      <c r="CN235" s="360">
        <v>44.91</v>
      </c>
      <c r="CO235" s="360">
        <v>0.34</v>
      </c>
      <c r="CP235" s="360">
        <v>14.11</v>
      </c>
      <c r="CQ235" s="360">
        <v>0.0</v>
      </c>
      <c r="CR235" s="360">
        <v>14.7</v>
      </c>
      <c r="CS235" s="360">
        <v>0.0</v>
      </c>
      <c r="CT235" s="360">
        <v>0.03</v>
      </c>
      <c r="CU235" s="360">
        <v>0.0</v>
      </c>
      <c r="CV235" s="360">
        <v>0.0</v>
      </c>
      <c r="CW235" s="360">
        <v>6.23</v>
      </c>
      <c r="CX235" s="360">
        <v>2.11</v>
      </c>
      <c r="CY235" s="360">
        <v>0.0</v>
      </c>
      <c r="CZ235" s="360">
        <v>3.47</v>
      </c>
      <c r="DK235" s="83">
        <v>44.0</v>
      </c>
      <c r="DL235" s="361">
        <v>14.1</v>
      </c>
      <c r="DM235" s="361">
        <v>0.0</v>
      </c>
      <c r="DN235" s="362">
        <v>61.5</v>
      </c>
      <c r="DO235" s="361">
        <v>14.7</v>
      </c>
      <c r="DP235" s="361">
        <v>0.0</v>
      </c>
      <c r="DQ235" s="361">
        <v>6.23</v>
      </c>
      <c r="DR235" s="361">
        <v>0.0</v>
      </c>
      <c r="DS235" s="361">
        <v>3.47</v>
      </c>
      <c r="DW235" s="361">
        <v>14.1</v>
      </c>
      <c r="DX235" s="362">
        <v>61.5</v>
      </c>
      <c r="DY235" s="364">
        <v>9.700000000000001</v>
      </c>
      <c r="DZ235" s="361">
        <v>14.7</v>
      </c>
      <c r="ED235" s="362">
        <v>28.799999999999997</v>
      </c>
      <c r="EE235" s="362">
        <v>61.5</v>
      </c>
      <c r="EF235" s="364">
        <v>9.700000000000001</v>
      </c>
    </row>
    <row r="236" ht="12.0" customHeight="1">
      <c r="I236" s="41"/>
      <c r="J236" s="365" t="s">
        <v>252</v>
      </c>
      <c r="K236" s="366" t="s">
        <v>123</v>
      </c>
      <c r="L236" s="185">
        <v>44.0</v>
      </c>
      <c r="M236" s="185">
        <v>6.0</v>
      </c>
      <c r="S236" s="53"/>
      <c r="T236" s="65">
        <v>2.0</v>
      </c>
      <c r="U236" s="391">
        <v>56.14</v>
      </c>
      <c r="V236" s="79">
        <v>9.68</v>
      </c>
      <c r="W236" s="79">
        <v>8.92</v>
      </c>
      <c r="X236" s="79">
        <v>9.19</v>
      </c>
      <c r="Y236" s="79">
        <v>11.49</v>
      </c>
      <c r="Z236" s="81">
        <v>0.0</v>
      </c>
      <c r="AA236" s="79">
        <v>1.64</v>
      </c>
      <c r="AB236" s="81">
        <v>0.0</v>
      </c>
      <c r="AC236" s="79">
        <v>1.13</v>
      </c>
      <c r="AD236" s="79">
        <v>0.03</v>
      </c>
      <c r="AE236" s="79">
        <v>0.84</v>
      </c>
      <c r="AF236" s="81">
        <v>0.0</v>
      </c>
      <c r="AG236" s="81">
        <v>0.0</v>
      </c>
      <c r="AH236" s="79">
        <v>0.9</v>
      </c>
      <c r="AI236" s="82">
        <v>0.04</v>
      </c>
      <c r="AK236" s="53"/>
      <c r="AL236" s="65">
        <v>4.0</v>
      </c>
      <c r="AM236" s="76">
        <v>56.86</v>
      </c>
      <c r="AN236" s="79">
        <v>17.18</v>
      </c>
      <c r="AO236" s="79">
        <v>1.31</v>
      </c>
      <c r="AP236" s="79">
        <v>14.95</v>
      </c>
      <c r="AQ236" s="79">
        <v>3.68</v>
      </c>
      <c r="AR236" s="79">
        <v>0.12</v>
      </c>
      <c r="AS236" s="79">
        <v>2.75</v>
      </c>
      <c r="AT236" s="81">
        <v>0.0</v>
      </c>
      <c r="AU236" s="81">
        <v>0.0</v>
      </c>
      <c r="AV236" s="79">
        <v>0.78</v>
      </c>
      <c r="AW236" s="79">
        <v>0.74</v>
      </c>
      <c r="AX236" s="81">
        <v>0.0</v>
      </c>
      <c r="AY236" s="81">
        <v>0.0</v>
      </c>
      <c r="AZ236" s="79">
        <v>0.01</v>
      </c>
      <c r="BA236" s="82">
        <v>1.62</v>
      </c>
      <c r="BE236" s="41"/>
      <c r="BF236" s="151" t="s">
        <v>264</v>
      </c>
      <c r="BG236" s="60" t="s">
        <v>12</v>
      </c>
      <c r="BH236" s="61" t="s">
        <v>13</v>
      </c>
      <c r="BI236" s="61" t="s">
        <v>14</v>
      </c>
      <c r="BJ236" s="61" t="s">
        <v>15</v>
      </c>
      <c r="BK236" s="61" t="s">
        <v>16</v>
      </c>
      <c r="BL236" s="61" t="s">
        <v>17</v>
      </c>
      <c r="BM236" s="382" t="s">
        <v>18</v>
      </c>
      <c r="BN236" s="382" t="s">
        <v>19</v>
      </c>
      <c r="BO236" s="61" t="s">
        <v>20</v>
      </c>
      <c r="BP236" s="61" t="s">
        <v>21</v>
      </c>
      <c r="BQ236" s="61" t="s">
        <v>22</v>
      </c>
      <c r="BR236" s="382" t="s">
        <v>23</v>
      </c>
      <c r="BS236" s="61" t="s">
        <v>24</v>
      </c>
      <c r="BT236" s="61" t="s">
        <v>25</v>
      </c>
      <c r="BU236" s="383" t="s">
        <v>26</v>
      </c>
      <c r="BV236" s="41"/>
      <c r="BW236" s="41"/>
      <c r="CL236" s="360">
        <v>3.96</v>
      </c>
      <c r="CM236" s="360">
        <v>0.0</v>
      </c>
      <c r="CN236" s="360">
        <v>50.84</v>
      </c>
      <c r="CO236" s="360">
        <v>0.11</v>
      </c>
      <c r="CP236" s="360">
        <v>7.53</v>
      </c>
      <c r="CQ236" s="360">
        <v>0.6</v>
      </c>
      <c r="CR236" s="360">
        <v>17.6</v>
      </c>
      <c r="CS236" s="360">
        <v>0.0</v>
      </c>
      <c r="CT236" s="360">
        <v>0.0</v>
      </c>
      <c r="CU236" s="360">
        <v>0.0</v>
      </c>
      <c r="CV236" s="360">
        <v>0.54</v>
      </c>
      <c r="CW236" s="360">
        <v>7.06</v>
      </c>
      <c r="CX236" s="360">
        <v>4.93</v>
      </c>
      <c r="CY236" s="360">
        <v>0.0</v>
      </c>
      <c r="CZ236" s="360">
        <v>6.83</v>
      </c>
      <c r="DK236" s="83">
        <v>45.0</v>
      </c>
      <c r="DL236" s="361">
        <v>3.96</v>
      </c>
      <c r="DM236" s="361">
        <v>0.0</v>
      </c>
      <c r="DN236" s="362">
        <v>64.55000000000001</v>
      </c>
      <c r="DO236" s="361">
        <v>17.6</v>
      </c>
      <c r="DP236" s="361">
        <v>0.0</v>
      </c>
      <c r="DQ236" s="361">
        <v>7.06</v>
      </c>
      <c r="DR236" s="361">
        <v>0.0</v>
      </c>
      <c r="DS236" s="361">
        <v>6.83</v>
      </c>
      <c r="DW236" s="361">
        <v>3.96</v>
      </c>
      <c r="DX236" s="362">
        <v>64.55000000000001</v>
      </c>
      <c r="DY236" s="364">
        <v>13.89</v>
      </c>
      <c r="DZ236" s="361">
        <v>17.6</v>
      </c>
      <c r="ED236" s="362">
        <v>21.560000000000002</v>
      </c>
      <c r="EE236" s="362">
        <v>64.55000000000001</v>
      </c>
      <c r="EF236" s="364">
        <v>13.89</v>
      </c>
    </row>
    <row r="237" ht="12.0" customHeight="1">
      <c r="I237" s="41"/>
      <c r="J237" s="365" t="s">
        <v>252</v>
      </c>
      <c r="K237" s="366" t="s">
        <v>125</v>
      </c>
      <c r="L237" s="185">
        <v>45.0</v>
      </c>
      <c r="M237" s="185">
        <v>7.0</v>
      </c>
      <c r="S237" s="53"/>
      <c r="T237" s="65">
        <v>8.0</v>
      </c>
      <c r="U237" s="391">
        <v>55.18</v>
      </c>
      <c r="V237" s="79">
        <v>9.27</v>
      </c>
      <c r="W237" s="79">
        <v>6.05</v>
      </c>
      <c r="X237" s="79">
        <v>13.89</v>
      </c>
      <c r="Y237" s="79">
        <v>10.72</v>
      </c>
      <c r="Z237" s="79">
        <v>0.24</v>
      </c>
      <c r="AA237" s="79">
        <v>2.99</v>
      </c>
      <c r="AB237" s="81">
        <v>0.0</v>
      </c>
      <c r="AC237" s="79">
        <v>0.47</v>
      </c>
      <c r="AD237" s="79">
        <v>0.67</v>
      </c>
      <c r="AE237" s="79">
        <v>0.52</v>
      </c>
      <c r="AF237" s="81">
        <v>0.0</v>
      </c>
      <c r="AG237" s="81">
        <v>0.0</v>
      </c>
      <c r="AH237" s="79">
        <v>0.0</v>
      </c>
      <c r="AI237" s="82">
        <v>0.0</v>
      </c>
      <c r="AK237" s="53"/>
      <c r="AL237" s="65">
        <v>5.0</v>
      </c>
      <c r="AM237" s="90">
        <v>22.9</v>
      </c>
      <c r="AN237" s="392">
        <v>23.81</v>
      </c>
      <c r="AO237" s="79">
        <v>14.6</v>
      </c>
      <c r="AP237" s="79">
        <v>2.72</v>
      </c>
      <c r="AQ237" s="79">
        <v>2.15</v>
      </c>
      <c r="AR237" s="79">
        <v>3.43</v>
      </c>
      <c r="AS237" s="79">
        <v>21.64</v>
      </c>
      <c r="AT237" s="81">
        <v>0.0</v>
      </c>
      <c r="AU237" s="79">
        <v>0.83</v>
      </c>
      <c r="AV237" s="79">
        <v>0.17</v>
      </c>
      <c r="AW237" s="79">
        <v>3.99</v>
      </c>
      <c r="AX237" s="81">
        <v>0.0</v>
      </c>
      <c r="AY237" s="81">
        <v>0.0</v>
      </c>
      <c r="AZ237" s="79">
        <v>0.46</v>
      </c>
      <c r="BA237" s="82">
        <v>3.3</v>
      </c>
      <c r="BE237" s="151">
        <v>1.0</v>
      </c>
      <c r="BF237" s="151" t="s">
        <v>252</v>
      </c>
      <c r="BG237" s="156">
        <v>79.0</v>
      </c>
      <c r="BH237" s="40">
        <v>26.0</v>
      </c>
      <c r="BI237" s="40">
        <v>22.0</v>
      </c>
      <c r="BJ237" s="40">
        <v>20.0</v>
      </c>
      <c r="BK237" s="40">
        <v>24.0</v>
      </c>
      <c r="BL237" s="40">
        <v>20.0</v>
      </c>
      <c r="BM237" s="40">
        <v>5.0</v>
      </c>
      <c r="BN237" s="40">
        <v>0.0</v>
      </c>
      <c r="BO237" s="40">
        <v>2.0</v>
      </c>
      <c r="BP237" s="40">
        <v>0.0</v>
      </c>
      <c r="BQ237" s="40">
        <v>1.0</v>
      </c>
      <c r="BR237" s="40">
        <v>2.0</v>
      </c>
      <c r="BS237" s="40">
        <v>0.0</v>
      </c>
      <c r="BT237" s="40">
        <v>0.0</v>
      </c>
      <c r="BU237" s="157">
        <v>3.0</v>
      </c>
      <c r="BV237" s="41"/>
      <c r="BW237" s="41"/>
      <c r="CL237" s="360">
        <v>7.12</v>
      </c>
      <c r="CM237" s="360">
        <v>0.0</v>
      </c>
      <c r="CN237" s="360">
        <v>39.14</v>
      </c>
      <c r="CO237" s="360">
        <v>2.53</v>
      </c>
      <c r="CP237" s="360">
        <v>4.96</v>
      </c>
      <c r="CQ237" s="360">
        <v>0.0</v>
      </c>
      <c r="CR237" s="360">
        <v>10.01</v>
      </c>
      <c r="CS237" s="360">
        <v>0.0</v>
      </c>
      <c r="CT237" s="360">
        <v>4.29</v>
      </c>
      <c r="CU237" s="360">
        <v>5.67</v>
      </c>
      <c r="CV237" s="360">
        <v>0.0</v>
      </c>
      <c r="CW237" s="360">
        <v>7.78</v>
      </c>
      <c r="CX237" s="360">
        <v>9.49</v>
      </c>
      <c r="CY237" s="360">
        <v>0.0</v>
      </c>
      <c r="CZ237" s="360">
        <v>9.01</v>
      </c>
      <c r="DK237" s="83">
        <v>46.0</v>
      </c>
      <c r="DL237" s="361">
        <v>7.12</v>
      </c>
      <c r="DM237" s="361">
        <v>0.0</v>
      </c>
      <c r="DN237" s="362">
        <v>66.08</v>
      </c>
      <c r="DO237" s="361">
        <v>10.01</v>
      </c>
      <c r="DP237" s="361">
        <v>0.0</v>
      </c>
      <c r="DQ237" s="361">
        <v>7.78</v>
      </c>
      <c r="DR237" s="361">
        <v>0.0</v>
      </c>
      <c r="DS237" s="361">
        <v>9.01</v>
      </c>
      <c r="DW237" s="361">
        <v>7.12</v>
      </c>
      <c r="DX237" s="362">
        <v>66.08</v>
      </c>
      <c r="DY237" s="364">
        <v>16.79</v>
      </c>
      <c r="DZ237" s="361">
        <v>10.01</v>
      </c>
      <c r="ED237" s="362">
        <v>17.13</v>
      </c>
      <c r="EE237" s="362">
        <v>66.08</v>
      </c>
      <c r="EF237" s="364">
        <v>16.79</v>
      </c>
    </row>
    <row r="238" ht="12.0" customHeight="1">
      <c r="I238" s="41"/>
      <c r="J238" s="367" t="s">
        <v>253</v>
      </c>
      <c r="K238" s="366" t="s">
        <v>127</v>
      </c>
      <c r="L238" s="185">
        <v>46.0</v>
      </c>
      <c r="M238" s="185">
        <v>6.0</v>
      </c>
      <c r="S238" s="53"/>
      <c r="T238" s="65">
        <v>9.0</v>
      </c>
      <c r="U238" s="391">
        <v>46.91</v>
      </c>
      <c r="V238" s="79">
        <v>12.95</v>
      </c>
      <c r="W238" s="79">
        <v>5.0</v>
      </c>
      <c r="X238" s="79">
        <v>13.27</v>
      </c>
      <c r="Y238" s="79">
        <v>18.36</v>
      </c>
      <c r="Z238" s="79">
        <v>0.16</v>
      </c>
      <c r="AA238" s="79">
        <v>1.33</v>
      </c>
      <c r="AB238" s="81">
        <v>0.0</v>
      </c>
      <c r="AC238" s="79">
        <v>0.79</v>
      </c>
      <c r="AD238" s="81">
        <v>0.0</v>
      </c>
      <c r="AE238" s="79">
        <v>0.45</v>
      </c>
      <c r="AF238" s="81">
        <v>0.0</v>
      </c>
      <c r="AG238" s="81">
        <v>0.0</v>
      </c>
      <c r="AH238" s="81">
        <v>0.0</v>
      </c>
      <c r="AI238" s="82">
        <v>0.78</v>
      </c>
      <c r="AK238" s="53"/>
      <c r="AL238" s="65">
        <v>6.0</v>
      </c>
      <c r="AM238" s="76">
        <v>27.32</v>
      </c>
      <c r="AN238" s="79">
        <v>26.11</v>
      </c>
      <c r="AO238" s="79">
        <v>21.01</v>
      </c>
      <c r="AP238" s="79">
        <v>12.27</v>
      </c>
      <c r="AQ238" s="79">
        <v>2.82</v>
      </c>
      <c r="AR238" s="79">
        <v>1.1</v>
      </c>
      <c r="AS238" s="79">
        <v>3.37</v>
      </c>
      <c r="AT238" s="81">
        <v>0.0</v>
      </c>
      <c r="AU238" s="79">
        <v>4.32</v>
      </c>
      <c r="AV238" s="81">
        <v>0.0</v>
      </c>
      <c r="AW238" s="79">
        <v>0.49</v>
      </c>
      <c r="AX238" s="81">
        <v>0.0</v>
      </c>
      <c r="AY238" s="81">
        <v>0.0</v>
      </c>
      <c r="AZ238" s="79">
        <v>0.11</v>
      </c>
      <c r="BA238" s="82">
        <v>1.08</v>
      </c>
      <c r="BE238" s="393">
        <v>2.0</v>
      </c>
      <c r="BF238" s="393" t="s">
        <v>253</v>
      </c>
      <c r="BG238" s="394">
        <v>34.0</v>
      </c>
      <c r="BH238" s="395">
        <v>37.0</v>
      </c>
      <c r="BI238" s="395">
        <v>28.0</v>
      </c>
      <c r="BJ238" s="395">
        <v>22.0</v>
      </c>
      <c r="BK238" s="395">
        <v>14.0</v>
      </c>
      <c r="BL238" s="395">
        <v>0.0</v>
      </c>
      <c r="BM238" s="395">
        <v>5.0</v>
      </c>
      <c r="BN238" s="395">
        <v>10.0</v>
      </c>
      <c r="BO238" s="395">
        <v>1.0</v>
      </c>
      <c r="BP238" s="395">
        <v>4.0</v>
      </c>
      <c r="BQ238" s="395">
        <v>1.0</v>
      </c>
      <c r="BR238" s="395">
        <v>0.0</v>
      </c>
      <c r="BS238" s="395">
        <v>1.0</v>
      </c>
      <c r="BT238" s="395">
        <v>1.0</v>
      </c>
      <c r="BU238" s="396">
        <v>10.0</v>
      </c>
      <c r="BV238" s="41"/>
      <c r="BW238" s="41"/>
      <c r="CL238" s="360">
        <v>14.31</v>
      </c>
      <c r="CM238" s="360">
        <v>0.0</v>
      </c>
      <c r="CN238" s="360">
        <v>50.42</v>
      </c>
      <c r="CO238" s="360">
        <v>8.09</v>
      </c>
      <c r="CP238" s="360">
        <v>5.39</v>
      </c>
      <c r="CQ238" s="360">
        <v>0.96</v>
      </c>
      <c r="CR238" s="360">
        <v>1.38</v>
      </c>
      <c r="CS238" s="360">
        <v>0.0</v>
      </c>
      <c r="CT238" s="360">
        <v>0.06</v>
      </c>
      <c r="CU238" s="360">
        <v>1.54</v>
      </c>
      <c r="CV238" s="360">
        <v>0.0</v>
      </c>
      <c r="CW238" s="360">
        <v>0.0</v>
      </c>
      <c r="CX238" s="360">
        <v>3.7</v>
      </c>
      <c r="CY238" s="360">
        <v>0.0</v>
      </c>
      <c r="CZ238" s="360">
        <v>14.15</v>
      </c>
      <c r="DK238" s="83">
        <v>47.0</v>
      </c>
      <c r="DL238" s="361">
        <v>14.31</v>
      </c>
      <c r="DM238" s="361">
        <v>0.0</v>
      </c>
      <c r="DN238" s="362">
        <v>70.16000000000001</v>
      </c>
      <c r="DO238" s="361">
        <v>1.38</v>
      </c>
      <c r="DP238" s="361">
        <v>0.0</v>
      </c>
      <c r="DQ238" s="361">
        <v>0.0</v>
      </c>
      <c r="DR238" s="361">
        <v>0.0</v>
      </c>
      <c r="DS238" s="361">
        <v>14.15</v>
      </c>
      <c r="DW238" s="361">
        <v>14.31</v>
      </c>
      <c r="DX238" s="362">
        <v>70.16000000000001</v>
      </c>
      <c r="DY238" s="364">
        <v>0.0</v>
      </c>
      <c r="DZ238" s="361">
        <v>1.38</v>
      </c>
      <c r="ED238" s="362">
        <v>15.690000000000001</v>
      </c>
      <c r="EE238" s="362">
        <v>70.16000000000001</v>
      </c>
      <c r="EF238" s="364">
        <v>0.0</v>
      </c>
    </row>
    <row r="239" ht="12.0" customHeight="1">
      <c r="I239" s="41"/>
      <c r="J239" s="367" t="s">
        <v>253</v>
      </c>
      <c r="K239" s="366" t="s">
        <v>129</v>
      </c>
      <c r="L239" s="185">
        <v>47.0</v>
      </c>
      <c r="M239" s="185">
        <v>7.0</v>
      </c>
      <c r="S239" s="53"/>
      <c r="T239" s="65">
        <v>10.0</v>
      </c>
      <c r="U239" s="391">
        <v>40.59</v>
      </c>
      <c r="V239" s="79">
        <v>15.53</v>
      </c>
      <c r="W239" s="79">
        <v>3.26</v>
      </c>
      <c r="X239" s="79">
        <v>16.34</v>
      </c>
      <c r="Y239" s="79">
        <v>16.85</v>
      </c>
      <c r="Z239" s="79">
        <v>0.47</v>
      </c>
      <c r="AA239" s="79">
        <v>5.47</v>
      </c>
      <c r="AB239" s="81">
        <v>0.0</v>
      </c>
      <c r="AC239" s="81">
        <v>0.0</v>
      </c>
      <c r="AD239" s="79">
        <v>0.03</v>
      </c>
      <c r="AE239" s="79">
        <v>0.95</v>
      </c>
      <c r="AF239" s="81">
        <v>0.0</v>
      </c>
      <c r="AG239" s="81">
        <v>0.0</v>
      </c>
      <c r="AH239" s="79">
        <v>0.11</v>
      </c>
      <c r="AI239" s="82">
        <v>0.4</v>
      </c>
      <c r="AK239" s="53"/>
      <c r="AL239" s="65">
        <v>7.0</v>
      </c>
      <c r="AM239" s="76">
        <v>56.06</v>
      </c>
      <c r="AN239" s="79">
        <v>10.7</v>
      </c>
      <c r="AO239" s="79">
        <v>7.15</v>
      </c>
      <c r="AP239" s="79">
        <v>13.2</v>
      </c>
      <c r="AQ239" s="79">
        <v>6.72</v>
      </c>
      <c r="AR239" s="81">
        <v>0.0</v>
      </c>
      <c r="AS239" s="79">
        <v>3.84</v>
      </c>
      <c r="AT239" s="81">
        <v>0.0</v>
      </c>
      <c r="AU239" s="81">
        <v>0.0</v>
      </c>
      <c r="AV239" s="79">
        <v>1.23</v>
      </c>
      <c r="AW239" s="79">
        <v>0.44</v>
      </c>
      <c r="AX239" s="81">
        <v>0.0</v>
      </c>
      <c r="AY239" s="81">
        <v>0.0</v>
      </c>
      <c r="AZ239" s="79">
        <v>0.12</v>
      </c>
      <c r="BA239" s="82">
        <v>0.54</v>
      </c>
      <c r="BE239" s="41"/>
      <c r="BF239" s="151" t="s">
        <v>181</v>
      </c>
      <c r="BG239" s="126">
        <f t="shared" ref="BG239:BU239" si="19">SUM(BG237:BG238)</f>
        <v>113</v>
      </c>
      <c r="BH239" s="152">
        <f t="shared" si="19"/>
        <v>63</v>
      </c>
      <c r="BI239" s="152">
        <f t="shared" si="19"/>
        <v>50</v>
      </c>
      <c r="BJ239" s="152">
        <f t="shared" si="19"/>
        <v>42</v>
      </c>
      <c r="BK239" s="152">
        <f t="shared" si="19"/>
        <v>38</v>
      </c>
      <c r="BL239" s="152">
        <f t="shared" si="19"/>
        <v>20</v>
      </c>
      <c r="BM239" s="152">
        <f t="shared" si="19"/>
        <v>10</v>
      </c>
      <c r="BN239" s="152">
        <f t="shared" si="19"/>
        <v>10</v>
      </c>
      <c r="BO239" s="152">
        <f t="shared" si="19"/>
        <v>3</v>
      </c>
      <c r="BP239" s="152">
        <f t="shared" si="19"/>
        <v>4</v>
      </c>
      <c r="BQ239" s="152">
        <f t="shared" si="19"/>
        <v>2</v>
      </c>
      <c r="BR239" s="152">
        <f t="shared" si="19"/>
        <v>2</v>
      </c>
      <c r="BS239" s="152">
        <f t="shared" si="19"/>
        <v>1</v>
      </c>
      <c r="BT239" s="152">
        <f t="shared" si="19"/>
        <v>1</v>
      </c>
      <c r="BU239" s="153">
        <f t="shared" si="19"/>
        <v>13</v>
      </c>
      <c r="BV239" s="151">
        <f t="shared" ref="BV239:BV240" si="21">SUM(BG239:BU239)</f>
        <v>372</v>
      </c>
      <c r="BW239" s="41"/>
      <c r="CL239" s="360">
        <v>16.39</v>
      </c>
      <c r="CM239" s="360">
        <v>0.0</v>
      </c>
      <c r="CN239" s="360">
        <v>27.87</v>
      </c>
      <c r="CO239" s="360">
        <v>6.22</v>
      </c>
      <c r="CP239" s="360">
        <v>10.41</v>
      </c>
      <c r="CQ239" s="360">
        <v>0.0</v>
      </c>
      <c r="CR239" s="360">
        <v>1.48</v>
      </c>
      <c r="CS239" s="360">
        <v>11.82</v>
      </c>
      <c r="CT239" s="360">
        <v>0.62</v>
      </c>
      <c r="CU239" s="360">
        <v>0.0</v>
      </c>
      <c r="CV239" s="360">
        <v>0.31</v>
      </c>
      <c r="CW239" s="360">
        <v>0.0</v>
      </c>
      <c r="CX239" s="360">
        <v>15.8</v>
      </c>
      <c r="CY239" s="360">
        <v>0.0</v>
      </c>
      <c r="CZ239" s="360">
        <v>9.08</v>
      </c>
      <c r="DK239" s="83">
        <v>48.0</v>
      </c>
      <c r="DL239" s="361">
        <v>16.39</v>
      </c>
      <c r="DM239" s="361">
        <v>0.0</v>
      </c>
      <c r="DN239" s="362">
        <v>61.230000000000004</v>
      </c>
      <c r="DO239" s="361">
        <v>1.48</v>
      </c>
      <c r="DP239" s="361">
        <v>11.82</v>
      </c>
      <c r="DQ239" s="361">
        <v>0.0</v>
      </c>
      <c r="DR239" s="361">
        <v>0.0</v>
      </c>
      <c r="DS239" s="361">
        <v>9.08</v>
      </c>
      <c r="DW239" s="361">
        <v>16.39</v>
      </c>
      <c r="DX239" s="362">
        <v>61.230000000000004</v>
      </c>
      <c r="DY239" s="364">
        <v>20.9</v>
      </c>
      <c r="DZ239" s="361">
        <v>1.48</v>
      </c>
      <c r="ED239" s="362">
        <v>17.87</v>
      </c>
      <c r="EE239" s="362">
        <v>61.230000000000004</v>
      </c>
      <c r="EF239" s="364">
        <v>20.9</v>
      </c>
    </row>
    <row r="240" ht="12.0" customHeight="1">
      <c r="I240" s="41"/>
      <c r="J240" s="367" t="s">
        <v>253</v>
      </c>
      <c r="K240" s="366" t="s">
        <v>134</v>
      </c>
      <c r="L240" s="185">
        <v>48.0</v>
      </c>
      <c r="M240" s="185">
        <v>6.0</v>
      </c>
      <c r="S240" s="53"/>
      <c r="T240" s="65">
        <v>11.0</v>
      </c>
      <c r="U240" s="391">
        <v>34.79</v>
      </c>
      <c r="V240" s="79">
        <v>10.2</v>
      </c>
      <c r="W240" s="79">
        <v>22.8</v>
      </c>
      <c r="X240" s="79">
        <v>10.21</v>
      </c>
      <c r="Y240" s="79">
        <v>17.69</v>
      </c>
      <c r="Z240" s="79">
        <v>0.48</v>
      </c>
      <c r="AA240" s="79">
        <v>1.08</v>
      </c>
      <c r="AB240" s="81">
        <v>0.0</v>
      </c>
      <c r="AC240" s="79">
        <v>0.72</v>
      </c>
      <c r="AD240" s="79">
        <v>0.66</v>
      </c>
      <c r="AE240" s="79">
        <v>0.84</v>
      </c>
      <c r="AF240" s="81">
        <v>0.0</v>
      </c>
      <c r="AG240" s="81">
        <v>0.0</v>
      </c>
      <c r="AH240" s="79">
        <v>0.3</v>
      </c>
      <c r="AI240" s="82">
        <v>0.23</v>
      </c>
      <c r="AK240" s="53"/>
      <c r="AL240" s="65">
        <v>24.0</v>
      </c>
      <c r="AM240" s="90">
        <v>28.85</v>
      </c>
      <c r="AN240" s="79">
        <v>10.38</v>
      </c>
      <c r="AO240" s="79">
        <v>13.85</v>
      </c>
      <c r="AP240" s="397">
        <v>29.8</v>
      </c>
      <c r="AQ240" s="81">
        <v>0.0</v>
      </c>
      <c r="AR240" s="81">
        <v>0.0</v>
      </c>
      <c r="AS240" s="79">
        <v>4.2</v>
      </c>
      <c r="AT240" s="81">
        <v>0.0</v>
      </c>
      <c r="AU240" s="79">
        <v>1.18</v>
      </c>
      <c r="AV240" s="79">
        <v>10.88</v>
      </c>
      <c r="AW240" s="81">
        <v>0.0</v>
      </c>
      <c r="AX240" s="81">
        <v>0.0</v>
      </c>
      <c r="AY240" s="81">
        <v>0.0</v>
      </c>
      <c r="AZ240" s="81">
        <v>0.0</v>
      </c>
      <c r="BA240" s="82">
        <v>0.86</v>
      </c>
      <c r="BE240" s="41"/>
      <c r="BF240" s="398" t="s">
        <v>265</v>
      </c>
      <c r="BG240" s="126">
        <f t="shared" ref="BG240:BU240" si="20">BG239+BG273</f>
        <v>142</v>
      </c>
      <c r="BH240" s="152">
        <f t="shared" si="20"/>
        <v>74</v>
      </c>
      <c r="BI240" s="152">
        <f t="shared" si="20"/>
        <v>62</v>
      </c>
      <c r="BJ240" s="152">
        <f t="shared" si="20"/>
        <v>50</v>
      </c>
      <c r="BK240" s="152">
        <f t="shared" si="20"/>
        <v>45</v>
      </c>
      <c r="BL240" s="152">
        <f t="shared" si="20"/>
        <v>23</v>
      </c>
      <c r="BM240" s="152">
        <f t="shared" si="20"/>
        <v>10</v>
      </c>
      <c r="BN240" s="152">
        <f t="shared" si="20"/>
        <v>12</v>
      </c>
      <c r="BO240" s="152">
        <f t="shared" si="20"/>
        <v>3</v>
      </c>
      <c r="BP240" s="152">
        <f t="shared" si="20"/>
        <v>4</v>
      </c>
      <c r="BQ240" s="152">
        <f t="shared" si="20"/>
        <v>2</v>
      </c>
      <c r="BR240" s="152">
        <f t="shared" si="20"/>
        <v>2</v>
      </c>
      <c r="BS240" s="152">
        <f t="shared" si="20"/>
        <v>1</v>
      </c>
      <c r="BT240" s="152">
        <f t="shared" si="20"/>
        <v>1</v>
      </c>
      <c r="BU240" s="152">
        <f t="shared" si="20"/>
        <v>13</v>
      </c>
      <c r="BV240" s="153">
        <f t="shared" si="21"/>
        <v>444</v>
      </c>
      <c r="BW240" s="41"/>
      <c r="CL240" s="360">
        <v>18.11</v>
      </c>
      <c r="CM240" s="360">
        <v>0.0</v>
      </c>
      <c r="CN240" s="360">
        <v>33.91</v>
      </c>
      <c r="CO240" s="360">
        <v>2.43</v>
      </c>
      <c r="CP240" s="360">
        <v>6.21</v>
      </c>
      <c r="CQ240" s="360">
        <v>0.6</v>
      </c>
      <c r="CR240" s="360">
        <v>1.68</v>
      </c>
      <c r="CS240" s="360">
        <v>15.08</v>
      </c>
      <c r="CT240" s="360">
        <v>0.0</v>
      </c>
      <c r="CU240" s="360">
        <v>0.0</v>
      </c>
      <c r="CV240" s="360">
        <v>0.11</v>
      </c>
      <c r="CW240" s="360">
        <v>0.0</v>
      </c>
      <c r="CX240" s="360">
        <v>0.97</v>
      </c>
      <c r="CY240" s="360">
        <v>0.0</v>
      </c>
      <c r="CZ240" s="360">
        <v>20.9</v>
      </c>
      <c r="DK240" s="83">
        <v>49.0</v>
      </c>
      <c r="DL240" s="361">
        <v>18.11</v>
      </c>
      <c r="DM240" s="361">
        <v>0.0</v>
      </c>
      <c r="DN240" s="362">
        <v>44.23</v>
      </c>
      <c r="DO240" s="361">
        <v>1.68</v>
      </c>
      <c r="DP240" s="361">
        <v>15.08</v>
      </c>
      <c r="DQ240" s="361">
        <v>0.0</v>
      </c>
      <c r="DR240" s="361">
        <v>0.0</v>
      </c>
      <c r="DS240" s="361">
        <v>20.9</v>
      </c>
      <c r="DW240" s="361">
        <v>18.11</v>
      </c>
      <c r="DX240" s="362">
        <v>44.23</v>
      </c>
      <c r="DY240" s="364">
        <v>15.08</v>
      </c>
      <c r="DZ240" s="361">
        <v>1.68</v>
      </c>
      <c r="ED240" s="362">
        <v>19.79</v>
      </c>
      <c r="EE240" s="362">
        <v>44.23</v>
      </c>
      <c r="EF240" s="364">
        <v>15.08</v>
      </c>
    </row>
    <row r="241" ht="12.0" customHeight="1">
      <c r="I241" s="41"/>
      <c r="J241" s="367" t="s">
        <v>253</v>
      </c>
      <c r="K241" s="366" t="s">
        <v>136</v>
      </c>
      <c r="L241" s="185">
        <v>49.0</v>
      </c>
      <c r="M241" s="185">
        <v>6.0</v>
      </c>
      <c r="S241" s="53"/>
      <c r="T241" s="65">
        <v>12.0</v>
      </c>
      <c r="U241" s="391">
        <v>34.64</v>
      </c>
      <c r="V241" s="79">
        <v>8.91</v>
      </c>
      <c r="W241" s="79">
        <v>12.49</v>
      </c>
      <c r="X241" s="79">
        <v>19.57</v>
      </c>
      <c r="Y241" s="79">
        <v>17.98</v>
      </c>
      <c r="Z241" s="79">
        <v>1.28</v>
      </c>
      <c r="AA241" s="79">
        <v>1.29</v>
      </c>
      <c r="AB241" s="81">
        <v>0.0</v>
      </c>
      <c r="AC241" s="79">
        <v>1.41</v>
      </c>
      <c r="AD241" s="81">
        <v>0.0</v>
      </c>
      <c r="AE241" s="79">
        <v>0.89</v>
      </c>
      <c r="AF241" s="81">
        <v>0.0</v>
      </c>
      <c r="AG241" s="81">
        <v>0.0</v>
      </c>
      <c r="AH241" s="79">
        <v>0.53</v>
      </c>
      <c r="AI241" s="82">
        <v>1.01</v>
      </c>
      <c r="AK241" s="53"/>
      <c r="AL241" s="65">
        <v>25.0</v>
      </c>
      <c r="AM241" s="76">
        <v>32.01</v>
      </c>
      <c r="AN241" s="79">
        <v>19.89</v>
      </c>
      <c r="AO241" s="79">
        <v>20.45</v>
      </c>
      <c r="AP241" s="79">
        <v>12.33</v>
      </c>
      <c r="AQ241" s="79">
        <v>6.37</v>
      </c>
      <c r="AR241" s="79">
        <v>0.55</v>
      </c>
      <c r="AS241" s="79">
        <v>1.96</v>
      </c>
      <c r="AT241" s="81">
        <v>0.0</v>
      </c>
      <c r="AU241" s="81">
        <v>0.0</v>
      </c>
      <c r="AV241" s="79">
        <v>1.12</v>
      </c>
      <c r="AW241" s="79">
        <v>3.54</v>
      </c>
      <c r="AX241" s="81">
        <v>0.0</v>
      </c>
      <c r="AY241" s="81">
        <v>0.0</v>
      </c>
      <c r="AZ241" s="79">
        <v>0.92</v>
      </c>
      <c r="BA241" s="82">
        <v>0.86</v>
      </c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CL241" s="360">
        <v>42.88</v>
      </c>
      <c r="CM241" s="360">
        <v>0.0</v>
      </c>
      <c r="CN241" s="360">
        <v>0.31</v>
      </c>
      <c r="CO241" s="360">
        <v>0.0</v>
      </c>
      <c r="CP241" s="360">
        <v>17.87</v>
      </c>
      <c r="CQ241" s="360">
        <v>0.0</v>
      </c>
      <c r="CR241" s="360">
        <v>0.0</v>
      </c>
      <c r="CS241" s="360">
        <v>30.95</v>
      </c>
      <c r="CT241" s="360">
        <v>0.42</v>
      </c>
      <c r="CU241" s="360">
        <v>0.0</v>
      </c>
      <c r="CV241" s="360">
        <v>4.47</v>
      </c>
      <c r="CW241" s="360">
        <v>0.0</v>
      </c>
      <c r="CX241" s="360">
        <v>0.0</v>
      </c>
      <c r="CY241" s="360">
        <v>0.0</v>
      </c>
      <c r="CZ241" s="360">
        <v>3.1</v>
      </c>
      <c r="DK241" s="83">
        <v>50.0</v>
      </c>
      <c r="DL241" s="361">
        <v>42.88</v>
      </c>
      <c r="DM241" s="361">
        <v>0.0</v>
      </c>
      <c r="DN241" s="362">
        <v>23.07</v>
      </c>
      <c r="DO241" s="361">
        <v>0.0</v>
      </c>
      <c r="DP241" s="361">
        <v>30.95</v>
      </c>
      <c r="DQ241" s="361">
        <v>0.0</v>
      </c>
      <c r="DR241" s="361">
        <v>0.0</v>
      </c>
      <c r="DS241" s="361">
        <v>3.1</v>
      </c>
      <c r="DW241" s="363">
        <v>42.88</v>
      </c>
      <c r="DX241" s="362">
        <v>23.07</v>
      </c>
      <c r="DY241" s="364">
        <v>34.05</v>
      </c>
      <c r="DZ241" s="361">
        <v>0.0</v>
      </c>
      <c r="ED241" s="362">
        <v>42.88</v>
      </c>
      <c r="EE241" s="362">
        <v>23.07</v>
      </c>
      <c r="EF241" s="364">
        <v>34.05</v>
      </c>
    </row>
    <row r="242" ht="12.0" customHeight="1">
      <c r="I242" s="41"/>
      <c r="J242" s="367" t="s">
        <v>253</v>
      </c>
      <c r="K242" s="366" t="s">
        <v>141</v>
      </c>
      <c r="L242" s="185">
        <v>50.0</v>
      </c>
      <c r="M242" s="185">
        <v>4.0</v>
      </c>
      <c r="S242" s="53"/>
      <c r="T242" s="65">
        <v>13.0</v>
      </c>
      <c r="U242" s="391">
        <v>28.01</v>
      </c>
      <c r="V242" s="79">
        <v>26.96</v>
      </c>
      <c r="W242" s="81">
        <v>0.0</v>
      </c>
      <c r="X242" s="81">
        <v>0.0</v>
      </c>
      <c r="Y242" s="79">
        <v>8.65</v>
      </c>
      <c r="Z242" s="79">
        <v>19.59</v>
      </c>
      <c r="AA242" s="81">
        <v>0.0</v>
      </c>
      <c r="AB242" s="81">
        <v>0.0</v>
      </c>
      <c r="AC242" s="79">
        <v>6.3</v>
      </c>
      <c r="AD242" s="81">
        <v>0.0</v>
      </c>
      <c r="AE242" s="79">
        <v>5.6</v>
      </c>
      <c r="AF242" s="81">
        <v>0.0</v>
      </c>
      <c r="AG242" s="81">
        <v>0.0</v>
      </c>
      <c r="AH242" s="79">
        <v>2.15</v>
      </c>
      <c r="AI242" s="82">
        <v>2.74</v>
      </c>
      <c r="AK242" s="53"/>
      <c r="AL242" s="65">
        <v>26.0</v>
      </c>
      <c r="AM242" s="90">
        <v>11.55</v>
      </c>
      <c r="AN242" s="79">
        <v>17.91</v>
      </c>
      <c r="AO242" s="79">
        <v>14.55</v>
      </c>
      <c r="AP242" s="397">
        <v>21.06</v>
      </c>
      <c r="AQ242" s="79">
        <v>16.54</v>
      </c>
      <c r="AR242" s="81">
        <v>0.0</v>
      </c>
      <c r="AS242" s="79">
        <v>4.26</v>
      </c>
      <c r="AT242" s="81">
        <v>0.0</v>
      </c>
      <c r="AU242" s="79">
        <v>0.7</v>
      </c>
      <c r="AV242" s="79">
        <v>7.45</v>
      </c>
      <c r="AW242" s="79">
        <v>2.96</v>
      </c>
      <c r="AX242" s="81">
        <v>0.0</v>
      </c>
      <c r="AY242" s="81">
        <v>0.0</v>
      </c>
      <c r="AZ242" s="79">
        <v>1.65</v>
      </c>
      <c r="BA242" s="82">
        <v>1.37</v>
      </c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CL242" s="360">
        <v>15.41</v>
      </c>
      <c r="CM242" s="360">
        <v>0.0</v>
      </c>
      <c r="CN242" s="360">
        <v>42.59</v>
      </c>
      <c r="CO242" s="360">
        <v>0.53</v>
      </c>
      <c r="CP242" s="360">
        <v>10.01</v>
      </c>
      <c r="CQ242" s="360">
        <v>0.0</v>
      </c>
      <c r="CR242" s="360">
        <v>5.54</v>
      </c>
      <c r="CS242" s="360">
        <v>17.71</v>
      </c>
      <c r="CT242" s="360">
        <v>0.04</v>
      </c>
      <c r="CU242" s="360">
        <v>0.0</v>
      </c>
      <c r="CV242" s="360">
        <v>1.45</v>
      </c>
      <c r="CW242" s="360">
        <v>0.0</v>
      </c>
      <c r="CX242" s="360">
        <v>1.09</v>
      </c>
      <c r="CY242" s="360">
        <v>0.0</v>
      </c>
      <c r="CZ242" s="360">
        <v>5.63</v>
      </c>
      <c r="DK242" s="83">
        <v>51.0</v>
      </c>
      <c r="DL242" s="361">
        <v>15.41</v>
      </c>
      <c r="DM242" s="361">
        <v>0.0</v>
      </c>
      <c r="DN242" s="362">
        <v>55.71000000000001</v>
      </c>
      <c r="DO242" s="361">
        <v>5.54</v>
      </c>
      <c r="DP242" s="361">
        <v>17.71</v>
      </c>
      <c r="DQ242" s="361">
        <v>0.0</v>
      </c>
      <c r="DR242" s="361">
        <v>0.0</v>
      </c>
      <c r="DS242" s="361">
        <v>5.63</v>
      </c>
      <c r="DW242" s="361">
        <v>15.41</v>
      </c>
      <c r="DX242" s="362">
        <v>55.71000000000001</v>
      </c>
      <c r="DY242" s="364">
        <v>23.34</v>
      </c>
      <c r="DZ242" s="361">
        <v>5.54</v>
      </c>
      <c r="ED242" s="362">
        <v>20.95</v>
      </c>
      <c r="EE242" s="362">
        <v>55.71000000000001</v>
      </c>
      <c r="EF242" s="364">
        <v>23.34</v>
      </c>
    </row>
    <row r="243" ht="12.0" customHeight="1">
      <c r="I243" s="41"/>
      <c r="J243" s="367" t="s">
        <v>253</v>
      </c>
      <c r="K243" s="366" t="s">
        <v>143</v>
      </c>
      <c r="L243" s="185">
        <v>51.0</v>
      </c>
      <c r="M243" s="185">
        <v>7.0</v>
      </c>
      <c r="S243" s="53"/>
      <c r="T243" s="65">
        <v>14.0</v>
      </c>
      <c r="U243" s="391">
        <v>36.0</v>
      </c>
      <c r="V243" s="79">
        <v>19.16</v>
      </c>
      <c r="W243" s="79">
        <v>16.04</v>
      </c>
      <c r="X243" s="79">
        <v>10.56</v>
      </c>
      <c r="Y243" s="79">
        <v>8.74</v>
      </c>
      <c r="Z243" s="79">
        <v>6.54</v>
      </c>
      <c r="AA243" s="79">
        <v>0.92</v>
      </c>
      <c r="AB243" s="81">
        <v>0.0</v>
      </c>
      <c r="AC243" s="79">
        <v>0.98</v>
      </c>
      <c r="AD243" s="79">
        <v>0.0</v>
      </c>
      <c r="AE243" s="79">
        <v>0.32</v>
      </c>
      <c r="AF243" s="81">
        <v>0.0</v>
      </c>
      <c r="AG243" s="81">
        <v>0.0</v>
      </c>
      <c r="AH243" s="81">
        <v>0.0</v>
      </c>
      <c r="AI243" s="82">
        <v>0.74</v>
      </c>
      <c r="AK243" s="53"/>
      <c r="AL243" s="65">
        <v>27.0</v>
      </c>
      <c r="AM243" s="90">
        <v>9.85</v>
      </c>
      <c r="AN243" s="79">
        <v>23.71</v>
      </c>
      <c r="AO243" s="79">
        <v>7.63</v>
      </c>
      <c r="AP243" s="79">
        <v>20.84</v>
      </c>
      <c r="AQ243" s="79">
        <v>11.59</v>
      </c>
      <c r="AR243" s="81">
        <v>0.0</v>
      </c>
      <c r="AS243" s="81">
        <v>0.0</v>
      </c>
      <c r="AT243" s="81">
        <v>0.0</v>
      </c>
      <c r="AU243" s="81">
        <v>0.0</v>
      </c>
      <c r="AV243" s="399">
        <v>24.98</v>
      </c>
      <c r="AW243" s="79">
        <v>0.8</v>
      </c>
      <c r="AX243" s="81">
        <v>0.0</v>
      </c>
      <c r="AY243" s="79">
        <v>0.07</v>
      </c>
      <c r="AZ243" s="79">
        <v>0.05</v>
      </c>
      <c r="BA243" s="82">
        <v>0.48</v>
      </c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CL243" s="360">
        <v>20.7</v>
      </c>
      <c r="CM243" s="360">
        <v>0.0</v>
      </c>
      <c r="CN243" s="360">
        <v>15.53</v>
      </c>
      <c r="CO243" s="360">
        <v>0.0</v>
      </c>
      <c r="CP243" s="360">
        <v>19.99</v>
      </c>
      <c r="CQ243" s="360">
        <v>0.0</v>
      </c>
      <c r="CR243" s="360">
        <v>0.0</v>
      </c>
      <c r="CS243" s="360">
        <v>25.4</v>
      </c>
      <c r="CT243" s="360">
        <v>0.0</v>
      </c>
      <c r="CU243" s="360">
        <v>0.0</v>
      </c>
      <c r="CV243" s="360">
        <v>0.37</v>
      </c>
      <c r="CW243" s="360">
        <v>0.0</v>
      </c>
      <c r="CX243" s="360">
        <v>0.0</v>
      </c>
      <c r="CY243" s="360">
        <v>0.0</v>
      </c>
      <c r="CZ243" s="360">
        <v>18.21</v>
      </c>
      <c r="DK243" s="83">
        <v>52.0</v>
      </c>
      <c r="DL243" s="361">
        <v>20.7</v>
      </c>
      <c r="DM243" s="361">
        <v>0.0</v>
      </c>
      <c r="DN243" s="362">
        <v>35.88999999999999</v>
      </c>
      <c r="DO243" s="361">
        <v>0.0</v>
      </c>
      <c r="DP243" s="361">
        <v>25.4</v>
      </c>
      <c r="DQ243" s="361">
        <v>0.0</v>
      </c>
      <c r="DR243" s="361">
        <v>0.0</v>
      </c>
      <c r="DS243" s="361">
        <v>18.21</v>
      </c>
      <c r="DW243" s="361">
        <v>20.7</v>
      </c>
      <c r="DX243" s="362">
        <v>35.88999999999999</v>
      </c>
      <c r="DY243" s="364">
        <v>25.4</v>
      </c>
      <c r="DZ243" s="361">
        <v>0.0</v>
      </c>
      <c r="ED243" s="362">
        <v>20.7</v>
      </c>
      <c r="EE243" s="362">
        <v>35.88999999999999</v>
      </c>
      <c r="EF243" s="364">
        <v>25.4</v>
      </c>
    </row>
    <row r="244" ht="12.0" customHeight="1">
      <c r="I244" s="41"/>
      <c r="J244" s="367" t="s">
        <v>253</v>
      </c>
      <c r="K244" s="366" t="s">
        <v>145</v>
      </c>
      <c r="L244" s="185">
        <v>52.0</v>
      </c>
      <c r="M244" s="185">
        <v>6.0</v>
      </c>
      <c r="S244" s="53"/>
      <c r="T244" s="65">
        <v>15.0</v>
      </c>
      <c r="U244" s="391">
        <v>32.91</v>
      </c>
      <c r="V244" s="79">
        <v>14.66</v>
      </c>
      <c r="W244" s="79">
        <v>8.88</v>
      </c>
      <c r="X244" s="79">
        <v>17.09</v>
      </c>
      <c r="Y244" s="79">
        <v>15.22</v>
      </c>
      <c r="Z244" s="79">
        <v>1.88</v>
      </c>
      <c r="AA244" s="79">
        <v>7.33</v>
      </c>
      <c r="AB244" s="81">
        <v>0.0</v>
      </c>
      <c r="AC244" s="79">
        <v>1.1</v>
      </c>
      <c r="AD244" s="79">
        <v>0.13</v>
      </c>
      <c r="AE244" s="79">
        <v>0.41</v>
      </c>
      <c r="AF244" s="81">
        <v>0.0</v>
      </c>
      <c r="AG244" s="81">
        <v>0.0</v>
      </c>
      <c r="AH244" s="81">
        <v>0.0</v>
      </c>
      <c r="AI244" s="82">
        <v>0.39</v>
      </c>
      <c r="AK244" s="53"/>
      <c r="AL244" s="65">
        <v>28.0</v>
      </c>
      <c r="AM244" s="90">
        <v>5.71</v>
      </c>
      <c r="AN244" s="79">
        <v>20.73</v>
      </c>
      <c r="AO244" s="79">
        <v>4.44</v>
      </c>
      <c r="AP244" s="397">
        <v>29.94</v>
      </c>
      <c r="AQ244" s="79">
        <v>15.65</v>
      </c>
      <c r="AR244" s="81">
        <v>0.0</v>
      </c>
      <c r="AS244" s="79">
        <v>2.52</v>
      </c>
      <c r="AT244" s="81">
        <v>0.0</v>
      </c>
      <c r="AU244" s="81">
        <v>0.0</v>
      </c>
      <c r="AV244" s="79">
        <v>20.25</v>
      </c>
      <c r="AW244" s="81">
        <v>0.0</v>
      </c>
      <c r="AX244" s="81">
        <v>0.0</v>
      </c>
      <c r="AY244" s="81">
        <v>0.0</v>
      </c>
      <c r="AZ244" s="79">
        <v>0.04</v>
      </c>
      <c r="BA244" s="82">
        <v>0.72</v>
      </c>
      <c r="BE244" s="41"/>
      <c r="BF244" s="41"/>
      <c r="BG244" s="384" t="s">
        <v>261</v>
      </c>
      <c r="BH244" s="148"/>
      <c r="BI244" s="148"/>
      <c r="BJ244" s="148"/>
      <c r="BK244" s="148"/>
      <c r="BL244" s="148"/>
      <c r="BM244" s="148"/>
      <c r="BN244" s="148"/>
      <c r="BO244" s="148"/>
      <c r="BP244" s="148"/>
      <c r="BQ244" s="148"/>
      <c r="BR244" s="148"/>
      <c r="BS244" s="148"/>
      <c r="BT244" s="148"/>
      <c r="BU244" s="149"/>
      <c r="BV244" s="41"/>
      <c r="BW244" s="41"/>
      <c r="CL244" s="360">
        <v>20.45</v>
      </c>
      <c r="CM244" s="360">
        <v>0.0</v>
      </c>
      <c r="CN244" s="360">
        <v>13.82</v>
      </c>
      <c r="CO244" s="360">
        <v>0.45</v>
      </c>
      <c r="CP244" s="360">
        <v>6.69</v>
      </c>
      <c r="CQ244" s="360">
        <v>0.0</v>
      </c>
      <c r="CR244" s="360">
        <v>0.0</v>
      </c>
      <c r="CS244" s="360">
        <v>22.42</v>
      </c>
      <c r="CT244" s="360">
        <v>0.11</v>
      </c>
      <c r="CU244" s="360">
        <v>0.0</v>
      </c>
      <c r="CV244" s="360">
        <v>3.16</v>
      </c>
      <c r="CW244" s="360">
        <v>0.0</v>
      </c>
      <c r="CX244" s="360">
        <v>0.0</v>
      </c>
      <c r="CY244" s="360">
        <v>0.0</v>
      </c>
      <c r="CZ244" s="360">
        <v>32.9</v>
      </c>
      <c r="DK244" s="83">
        <v>53.0</v>
      </c>
      <c r="DL244" s="361">
        <v>20.45</v>
      </c>
      <c r="DM244" s="361">
        <v>0.0</v>
      </c>
      <c r="DN244" s="362">
        <v>24.23</v>
      </c>
      <c r="DO244" s="361">
        <v>0.0</v>
      </c>
      <c r="DP244" s="361">
        <v>22.42</v>
      </c>
      <c r="DQ244" s="361">
        <v>0.0</v>
      </c>
      <c r="DR244" s="361">
        <v>0.0</v>
      </c>
      <c r="DS244" s="361">
        <v>32.9</v>
      </c>
      <c r="DW244" s="361">
        <v>20.45</v>
      </c>
      <c r="DX244" s="362">
        <v>24.23</v>
      </c>
      <c r="DY244" s="364">
        <v>22.42</v>
      </c>
      <c r="DZ244" s="361">
        <v>0.0</v>
      </c>
      <c r="ED244" s="362">
        <v>20.45</v>
      </c>
      <c r="EE244" s="362">
        <v>24.23</v>
      </c>
      <c r="EF244" s="364">
        <v>22.42</v>
      </c>
    </row>
    <row r="245" ht="12.0" customHeight="1">
      <c r="I245" s="41"/>
      <c r="J245" s="367" t="s">
        <v>253</v>
      </c>
      <c r="K245" s="366" t="s">
        <v>150</v>
      </c>
      <c r="L245" s="185">
        <v>53.0</v>
      </c>
      <c r="M245" s="185">
        <v>9.0</v>
      </c>
      <c r="S245" s="53"/>
      <c r="T245" s="65">
        <v>16.0</v>
      </c>
      <c r="U245" s="391">
        <v>29.45</v>
      </c>
      <c r="V245" s="79">
        <v>11.76</v>
      </c>
      <c r="W245" s="79">
        <v>13.6</v>
      </c>
      <c r="X245" s="79">
        <v>24.01</v>
      </c>
      <c r="Y245" s="79">
        <v>11.12</v>
      </c>
      <c r="Z245" s="79">
        <v>0.58</v>
      </c>
      <c r="AA245" s="79">
        <v>5.92</v>
      </c>
      <c r="AB245" s="81">
        <v>0.0</v>
      </c>
      <c r="AC245" s="81">
        <v>0.0</v>
      </c>
      <c r="AD245" s="79">
        <v>2.17</v>
      </c>
      <c r="AE245" s="79">
        <v>0.38</v>
      </c>
      <c r="AF245" s="81">
        <v>0.0</v>
      </c>
      <c r="AG245" s="81">
        <v>0.0</v>
      </c>
      <c r="AH245" s="79">
        <v>0.01</v>
      </c>
      <c r="AI245" s="82">
        <v>1.0</v>
      </c>
      <c r="AK245" s="53"/>
      <c r="AL245" s="65">
        <v>46.0</v>
      </c>
      <c r="AM245" s="90">
        <v>7.12</v>
      </c>
      <c r="AN245" s="81">
        <v>0.0</v>
      </c>
      <c r="AO245" s="400">
        <v>39.14</v>
      </c>
      <c r="AP245" s="79">
        <v>2.53</v>
      </c>
      <c r="AQ245" s="79">
        <v>4.96</v>
      </c>
      <c r="AR245" s="81">
        <v>0.0</v>
      </c>
      <c r="AS245" s="79">
        <v>10.01</v>
      </c>
      <c r="AT245" s="81">
        <v>0.0</v>
      </c>
      <c r="AU245" s="79">
        <v>4.29</v>
      </c>
      <c r="AV245" s="79">
        <v>5.67</v>
      </c>
      <c r="AW245" s="81">
        <v>0.0</v>
      </c>
      <c r="AX245" s="79">
        <v>7.78</v>
      </c>
      <c r="AY245" s="79">
        <v>9.49</v>
      </c>
      <c r="AZ245" s="81">
        <v>0.0</v>
      </c>
      <c r="BA245" s="82">
        <v>9.01</v>
      </c>
      <c r="BE245" s="41"/>
      <c r="BF245" s="41"/>
      <c r="BG245" s="42"/>
      <c r="BH245" s="34"/>
      <c r="BI245" s="372"/>
      <c r="BJ245" s="373"/>
      <c r="BK245" s="374"/>
      <c r="BL245" s="375"/>
      <c r="BM245" s="36"/>
      <c r="BN245" s="38"/>
      <c r="BO245" s="376"/>
      <c r="BP245" s="377"/>
      <c r="BQ245" s="378"/>
      <c r="BR245" s="38"/>
      <c r="BS245" s="379"/>
      <c r="BT245" s="38"/>
      <c r="BU245" s="380"/>
      <c r="BV245" s="41"/>
      <c r="BW245" s="41"/>
      <c r="CL245" s="360">
        <v>23.78</v>
      </c>
      <c r="CM245" s="360">
        <v>0.0</v>
      </c>
      <c r="CN245" s="360">
        <v>43.61</v>
      </c>
      <c r="CO245" s="360">
        <v>0.63</v>
      </c>
      <c r="CP245" s="360">
        <v>2.02</v>
      </c>
      <c r="CQ245" s="360">
        <v>0.0</v>
      </c>
      <c r="CR245" s="360">
        <v>0.0</v>
      </c>
      <c r="CS245" s="360">
        <v>18.14</v>
      </c>
      <c r="CT245" s="360">
        <v>0.14</v>
      </c>
      <c r="CU245" s="360">
        <v>0.01</v>
      </c>
      <c r="CV245" s="360">
        <v>0.62</v>
      </c>
      <c r="CW245" s="360">
        <v>0.0</v>
      </c>
      <c r="CX245" s="360">
        <v>0.92</v>
      </c>
      <c r="CY245" s="360">
        <v>0.0</v>
      </c>
      <c r="CZ245" s="360">
        <v>10.13</v>
      </c>
      <c r="DK245" s="83">
        <v>54.0</v>
      </c>
      <c r="DL245" s="361">
        <v>23.78</v>
      </c>
      <c r="DM245" s="361">
        <v>0.0</v>
      </c>
      <c r="DN245" s="362">
        <v>47.95</v>
      </c>
      <c r="DO245" s="361">
        <v>0.0</v>
      </c>
      <c r="DP245" s="361">
        <v>18.14</v>
      </c>
      <c r="DQ245" s="361">
        <v>0.0</v>
      </c>
      <c r="DR245" s="361">
        <v>0.0</v>
      </c>
      <c r="DS245" s="361">
        <v>10.13</v>
      </c>
      <c r="DW245" s="361">
        <v>23.78</v>
      </c>
      <c r="DX245" s="362">
        <v>47.95</v>
      </c>
      <c r="DY245" s="364">
        <v>28.270000000000003</v>
      </c>
      <c r="DZ245" s="361">
        <v>0.0</v>
      </c>
      <c r="ED245" s="362">
        <v>23.78</v>
      </c>
      <c r="EE245" s="362">
        <v>47.95</v>
      </c>
      <c r="EF245" s="364">
        <v>28.270000000000003</v>
      </c>
    </row>
    <row r="246" ht="12.0" customHeight="1">
      <c r="I246" s="41"/>
      <c r="J246" s="367" t="s">
        <v>253</v>
      </c>
      <c r="K246" s="366" t="s">
        <v>155</v>
      </c>
      <c r="L246" s="185">
        <v>54.0</v>
      </c>
      <c r="M246" s="185">
        <v>10.0</v>
      </c>
      <c r="S246" s="53"/>
      <c r="T246" s="65">
        <v>17.0</v>
      </c>
      <c r="U246" s="391">
        <v>31.71</v>
      </c>
      <c r="V246" s="79">
        <v>8.94</v>
      </c>
      <c r="W246" s="79">
        <v>3.55</v>
      </c>
      <c r="X246" s="79">
        <v>29.02</v>
      </c>
      <c r="Y246" s="79">
        <v>11.14</v>
      </c>
      <c r="Z246" s="79">
        <v>2.39</v>
      </c>
      <c r="AA246" s="79">
        <v>9.89</v>
      </c>
      <c r="AB246" s="81">
        <v>0.0</v>
      </c>
      <c r="AC246" s="79">
        <v>0.82</v>
      </c>
      <c r="AD246" s="81">
        <v>0.0</v>
      </c>
      <c r="AE246" s="79">
        <v>0.28</v>
      </c>
      <c r="AF246" s="81">
        <v>0.0</v>
      </c>
      <c r="AG246" s="81">
        <v>0.0</v>
      </c>
      <c r="AH246" s="79">
        <v>0.01</v>
      </c>
      <c r="AI246" s="82">
        <v>2.25</v>
      </c>
      <c r="AK246" s="53"/>
      <c r="AL246" s="65">
        <v>47.0</v>
      </c>
      <c r="AM246" s="90">
        <v>14.31</v>
      </c>
      <c r="AN246" s="81">
        <v>0.0</v>
      </c>
      <c r="AO246" s="400">
        <v>50.42</v>
      </c>
      <c r="AP246" s="79">
        <v>8.09</v>
      </c>
      <c r="AQ246" s="79">
        <v>5.39</v>
      </c>
      <c r="AR246" s="79">
        <v>0.96</v>
      </c>
      <c r="AS246" s="79">
        <v>1.38</v>
      </c>
      <c r="AT246" s="81">
        <v>0.0</v>
      </c>
      <c r="AU246" s="79">
        <v>0.06</v>
      </c>
      <c r="AV246" s="79">
        <v>1.54</v>
      </c>
      <c r="AW246" s="81">
        <v>0.0</v>
      </c>
      <c r="AX246" s="81">
        <v>0.0</v>
      </c>
      <c r="AY246" s="79">
        <v>3.7</v>
      </c>
      <c r="AZ246" s="81">
        <v>0.0</v>
      </c>
      <c r="BA246" s="82" t="s">
        <v>133</v>
      </c>
      <c r="BE246" s="41"/>
      <c r="BF246" s="151" t="s">
        <v>264</v>
      </c>
      <c r="BG246" s="60" t="s">
        <v>12</v>
      </c>
      <c r="BH246" s="61" t="s">
        <v>13</v>
      </c>
      <c r="BI246" s="61" t="s">
        <v>14</v>
      </c>
      <c r="BJ246" s="61" t="s">
        <v>15</v>
      </c>
      <c r="BK246" s="61" t="s">
        <v>16</v>
      </c>
      <c r="BL246" s="61" t="s">
        <v>17</v>
      </c>
      <c r="BM246" s="382" t="s">
        <v>18</v>
      </c>
      <c r="BN246" s="382" t="s">
        <v>19</v>
      </c>
      <c r="BO246" s="61" t="s">
        <v>20</v>
      </c>
      <c r="BP246" s="61" t="s">
        <v>21</v>
      </c>
      <c r="BQ246" s="61" t="s">
        <v>22</v>
      </c>
      <c r="BR246" s="382" t="s">
        <v>23</v>
      </c>
      <c r="BS246" s="61" t="s">
        <v>24</v>
      </c>
      <c r="BT246" s="61" t="s">
        <v>25</v>
      </c>
      <c r="BU246" s="383" t="s">
        <v>26</v>
      </c>
      <c r="BV246" s="41"/>
      <c r="BW246" s="41"/>
      <c r="CL246" s="360">
        <v>28.1</v>
      </c>
      <c r="CM246" s="360">
        <v>0.0</v>
      </c>
      <c r="CN246" s="360">
        <v>36.86</v>
      </c>
      <c r="CO246" s="360">
        <v>2.66</v>
      </c>
      <c r="CP246" s="360">
        <v>2.78</v>
      </c>
      <c r="CQ246" s="360">
        <v>0.0</v>
      </c>
      <c r="CR246" s="360">
        <v>0.0</v>
      </c>
      <c r="CS246" s="360">
        <v>21.58</v>
      </c>
      <c r="CT246" s="360">
        <v>0.0</v>
      </c>
      <c r="CU246" s="360">
        <v>0.0</v>
      </c>
      <c r="CV246" s="360">
        <v>0.05</v>
      </c>
      <c r="CW246" s="360">
        <v>0.0</v>
      </c>
      <c r="CX246" s="360">
        <v>0.0</v>
      </c>
      <c r="CY246" s="360">
        <v>0.0</v>
      </c>
      <c r="CZ246" s="360">
        <v>7.97</v>
      </c>
      <c r="DK246" s="83">
        <v>55.0</v>
      </c>
      <c r="DL246" s="361">
        <v>28.1</v>
      </c>
      <c r="DM246" s="361">
        <v>0.0</v>
      </c>
      <c r="DN246" s="362">
        <v>42.349999999999994</v>
      </c>
      <c r="DO246" s="361">
        <v>0.0</v>
      </c>
      <c r="DP246" s="361">
        <v>21.58</v>
      </c>
      <c r="DQ246" s="361">
        <v>0.0</v>
      </c>
      <c r="DR246" s="361">
        <v>0.0</v>
      </c>
      <c r="DS246" s="361">
        <v>7.97</v>
      </c>
      <c r="DW246" s="361">
        <v>28.1</v>
      </c>
      <c r="DX246" s="362">
        <v>42.349999999999994</v>
      </c>
      <c r="DY246" s="364">
        <v>21.58</v>
      </c>
      <c r="DZ246" s="361">
        <v>0.0</v>
      </c>
      <c r="ED246" s="362">
        <v>28.1</v>
      </c>
      <c r="EE246" s="362">
        <v>42.349999999999994</v>
      </c>
      <c r="EF246" s="364">
        <v>21.58</v>
      </c>
    </row>
    <row r="247" ht="12.0" customHeight="1">
      <c r="I247" s="41"/>
      <c r="J247" s="367" t="s">
        <v>253</v>
      </c>
      <c r="K247" s="366" t="s">
        <v>157</v>
      </c>
      <c r="L247" s="185">
        <v>55.0</v>
      </c>
      <c r="M247" s="185">
        <v>9.0</v>
      </c>
      <c r="S247" s="53"/>
      <c r="T247" s="65">
        <v>18.0</v>
      </c>
      <c r="U247" s="391">
        <v>38.12</v>
      </c>
      <c r="V247" s="79">
        <v>17.31</v>
      </c>
      <c r="W247" s="79">
        <v>13.4</v>
      </c>
      <c r="X247" s="79">
        <v>9.46</v>
      </c>
      <c r="Y247" s="79">
        <v>9.62</v>
      </c>
      <c r="Z247" s="79">
        <v>7.23</v>
      </c>
      <c r="AA247" s="79">
        <v>1.43</v>
      </c>
      <c r="AB247" s="81">
        <v>0.0</v>
      </c>
      <c r="AC247" s="81">
        <v>0.0</v>
      </c>
      <c r="AD247" s="79">
        <v>0.12</v>
      </c>
      <c r="AE247" s="79">
        <v>1.6</v>
      </c>
      <c r="AF247" s="81">
        <v>0.0</v>
      </c>
      <c r="AG247" s="81">
        <v>0.0</v>
      </c>
      <c r="AH247" s="79">
        <v>0.17</v>
      </c>
      <c r="AI247" s="82">
        <v>1.54</v>
      </c>
      <c r="AK247" s="53"/>
      <c r="AL247" s="65">
        <v>48.0</v>
      </c>
      <c r="AM247" s="90">
        <v>16.39</v>
      </c>
      <c r="AN247" s="81">
        <v>0.0</v>
      </c>
      <c r="AO247" s="400">
        <v>27.87</v>
      </c>
      <c r="AP247" s="79">
        <v>6.22</v>
      </c>
      <c r="AQ247" s="79">
        <v>10.41</v>
      </c>
      <c r="AR247" s="81">
        <v>0.0</v>
      </c>
      <c r="AS247" s="79">
        <v>1.48</v>
      </c>
      <c r="AT247" s="79">
        <v>11.82</v>
      </c>
      <c r="AU247" s="79">
        <v>0.62</v>
      </c>
      <c r="AV247" s="81">
        <v>0.0</v>
      </c>
      <c r="AW247" s="79">
        <v>0.31</v>
      </c>
      <c r="AX247" s="81">
        <v>0.0</v>
      </c>
      <c r="AY247" s="79">
        <v>15.8</v>
      </c>
      <c r="AZ247" s="81">
        <v>0.0</v>
      </c>
      <c r="BA247" s="82">
        <v>9.08</v>
      </c>
      <c r="BE247" s="151">
        <v>1.0</v>
      </c>
      <c r="BF247" s="151" t="s">
        <v>179</v>
      </c>
      <c r="BG247" s="126">
        <v>112.0</v>
      </c>
      <c r="BH247" s="152">
        <v>61.0</v>
      </c>
      <c r="BI247" s="152">
        <v>50.0</v>
      </c>
      <c r="BJ247" s="152">
        <v>41.0</v>
      </c>
      <c r="BK247" s="152">
        <v>38.0</v>
      </c>
      <c r="BL247" s="152">
        <v>20.0</v>
      </c>
      <c r="BM247" s="152">
        <v>10.0</v>
      </c>
      <c r="BN247" s="152">
        <v>9.0</v>
      </c>
      <c r="BO247" s="152">
        <v>4.0</v>
      </c>
      <c r="BP247" s="152">
        <v>5.0</v>
      </c>
      <c r="BQ247" s="152">
        <v>3.0</v>
      </c>
      <c r="BR247" s="152">
        <v>3.0</v>
      </c>
      <c r="BS247" s="152">
        <v>2.0</v>
      </c>
      <c r="BT247" s="152">
        <v>1.0</v>
      </c>
      <c r="BU247" s="153">
        <v>13.0</v>
      </c>
      <c r="BV247" s="151">
        <f t="shared" ref="BV247:BV248" si="23">SUM(BG247:BU247)</f>
        <v>372</v>
      </c>
      <c r="BW247" s="41"/>
      <c r="CL247" s="360">
        <v>0.0</v>
      </c>
      <c r="CM247" s="360">
        <v>84.48</v>
      </c>
      <c r="CN247" s="360">
        <v>0.0</v>
      </c>
      <c r="CO247" s="360">
        <v>2.76</v>
      </c>
      <c r="CP247" s="360">
        <v>2.3</v>
      </c>
      <c r="CQ247" s="360">
        <v>0.0</v>
      </c>
      <c r="CR247" s="360">
        <v>3.24</v>
      </c>
      <c r="CS247" s="360">
        <v>0.0</v>
      </c>
      <c r="CT247" s="360">
        <v>0.0</v>
      </c>
      <c r="CU247" s="360">
        <v>0.0</v>
      </c>
      <c r="CV247" s="360">
        <v>0.0</v>
      </c>
      <c r="CW247" s="360">
        <v>0.0</v>
      </c>
      <c r="CX247" s="360">
        <v>0.0</v>
      </c>
      <c r="CY247" s="360">
        <v>1.05</v>
      </c>
      <c r="CZ247" s="360">
        <v>6.17</v>
      </c>
      <c r="DK247" s="83">
        <v>56.0</v>
      </c>
      <c r="DL247" s="361">
        <v>0.0</v>
      </c>
      <c r="DM247" s="361">
        <v>84.48</v>
      </c>
      <c r="DN247" s="362">
        <v>5.06</v>
      </c>
      <c r="DO247" s="361">
        <v>3.24</v>
      </c>
      <c r="DP247" s="361">
        <v>0.0</v>
      </c>
      <c r="DQ247" s="361">
        <v>0.0</v>
      </c>
      <c r="DR247" s="361">
        <v>1.05</v>
      </c>
      <c r="DS247" s="361">
        <v>6.17</v>
      </c>
      <c r="DW247" s="361">
        <v>0.0</v>
      </c>
      <c r="DX247" s="362">
        <v>5.06</v>
      </c>
      <c r="DY247" s="364">
        <v>91.7</v>
      </c>
      <c r="DZ247" s="361">
        <v>3.24</v>
      </c>
      <c r="ED247" s="362">
        <v>3.24</v>
      </c>
      <c r="EE247" s="362">
        <v>5.06</v>
      </c>
      <c r="EF247" s="364">
        <v>91.7</v>
      </c>
    </row>
    <row r="248" ht="12.0" customHeight="1">
      <c r="I248" s="41"/>
      <c r="J248" s="367" t="s">
        <v>253</v>
      </c>
      <c r="K248" s="366" t="s">
        <v>161</v>
      </c>
      <c r="L248" s="185">
        <v>56.0</v>
      </c>
      <c r="M248" s="185">
        <v>5.0</v>
      </c>
      <c r="S248" s="53"/>
      <c r="T248" s="65">
        <v>19.0</v>
      </c>
      <c r="U248" s="391">
        <v>34.39</v>
      </c>
      <c r="V248" s="79">
        <v>10.55</v>
      </c>
      <c r="W248" s="79">
        <v>23.47</v>
      </c>
      <c r="X248" s="79">
        <v>13.45</v>
      </c>
      <c r="Y248" s="79">
        <v>11.72</v>
      </c>
      <c r="Z248" s="79">
        <v>0.88</v>
      </c>
      <c r="AA248" s="79">
        <v>1.15</v>
      </c>
      <c r="AB248" s="81">
        <v>0.0</v>
      </c>
      <c r="AC248" s="79">
        <v>1.08</v>
      </c>
      <c r="AD248" s="81">
        <v>0.0</v>
      </c>
      <c r="AE248" s="79">
        <v>0.87</v>
      </c>
      <c r="AF248" s="81">
        <v>0.0</v>
      </c>
      <c r="AG248" s="81">
        <v>0.0</v>
      </c>
      <c r="AH248" s="79">
        <v>1.2</v>
      </c>
      <c r="AI248" s="82">
        <v>1.24</v>
      </c>
      <c r="AK248" s="53"/>
      <c r="AL248" s="65">
        <v>49.0</v>
      </c>
      <c r="AM248" s="90">
        <v>18.11</v>
      </c>
      <c r="AN248" s="81">
        <v>0.0</v>
      </c>
      <c r="AO248" s="400">
        <v>33.91</v>
      </c>
      <c r="AP248" s="79">
        <v>2.43</v>
      </c>
      <c r="AQ248" s="79">
        <v>6.21</v>
      </c>
      <c r="AR248" s="79">
        <v>0.6</v>
      </c>
      <c r="AS248" s="79">
        <v>1.68</v>
      </c>
      <c r="AT248" s="79">
        <v>15.08</v>
      </c>
      <c r="AU248" s="81">
        <v>0.0</v>
      </c>
      <c r="AV248" s="81">
        <v>0.0</v>
      </c>
      <c r="AW248" s="79">
        <v>0.11</v>
      </c>
      <c r="AX248" s="81">
        <v>0.0</v>
      </c>
      <c r="AY248" s="79">
        <v>0.97</v>
      </c>
      <c r="AZ248" s="81">
        <v>0.0</v>
      </c>
      <c r="BA248" s="82" t="s">
        <v>140</v>
      </c>
      <c r="BE248" s="41"/>
      <c r="BF248" s="398" t="s">
        <v>265</v>
      </c>
      <c r="BG248" s="126">
        <f t="shared" ref="BG248:BU248" si="22">BG247+BG273</f>
        <v>141</v>
      </c>
      <c r="BH248" s="152">
        <f t="shared" si="22"/>
        <v>72</v>
      </c>
      <c r="BI248" s="152">
        <f t="shared" si="22"/>
        <v>62</v>
      </c>
      <c r="BJ248" s="152">
        <f t="shared" si="22"/>
        <v>49</v>
      </c>
      <c r="BK248" s="152">
        <f t="shared" si="22"/>
        <v>45</v>
      </c>
      <c r="BL248" s="152">
        <f t="shared" si="22"/>
        <v>23</v>
      </c>
      <c r="BM248" s="152">
        <f t="shared" si="22"/>
        <v>10</v>
      </c>
      <c r="BN248" s="152">
        <f t="shared" si="22"/>
        <v>11</v>
      </c>
      <c r="BO248" s="152">
        <f t="shared" si="22"/>
        <v>4</v>
      </c>
      <c r="BP248" s="152">
        <f t="shared" si="22"/>
        <v>5</v>
      </c>
      <c r="BQ248" s="152">
        <f t="shared" si="22"/>
        <v>3</v>
      </c>
      <c r="BR248" s="152">
        <f t="shared" si="22"/>
        <v>3</v>
      </c>
      <c r="BS248" s="152">
        <f t="shared" si="22"/>
        <v>2</v>
      </c>
      <c r="BT248" s="152">
        <f t="shared" si="22"/>
        <v>1</v>
      </c>
      <c r="BU248" s="152">
        <f t="shared" si="22"/>
        <v>13</v>
      </c>
      <c r="BV248" s="151">
        <f t="shared" si="23"/>
        <v>444</v>
      </c>
      <c r="BW248" s="41"/>
      <c r="CL248" s="360">
        <v>5.02</v>
      </c>
      <c r="CM248" s="360">
        <v>66.3</v>
      </c>
      <c r="CN248" s="360">
        <v>0.0</v>
      </c>
      <c r="CO248" s="360">
        <v>3.76</v>
      </c>
      <c r="CP248" s="360">
        <v>1.24</v>
      </c>
      <c r="CQ248" s="360">
        <v>0.0</v>
      </c>
      <c r="CR248" s="360">
        <v>0.0</v>
      </c>
      <c r="CS248" s="360">
        <v>0.0</v>
      </c>
      <c r="CT248" s="360">
        <v>0.0</v>
      </c>
      <c r="CU248" s="360">
        <v>0.0</v>
      </c>
      <c r="CV248" s="360">
        <v>0.0</v>
      </c>
      <c r="CW248" s="360">
        <v>0.0</v>
      </c>
      <c r="CX248" s="360">
        <v>0.0</v>
      </c>
      <c r="CY248" s="360">
        <v>2.61</v>
      </c>
      <c r="CZ248" s="360">
        <v>21.07</v>
      </c>
      <c r="DK248" s="83">
        <v>57.0</v>
      </c>
      <c r="DL248" s="361">
        <v>5.02</v>
      </c>
      <c r="DM248" s="361">
        <v>66.3</v>
      </c>
      <c r="DN248" s="362">
        <v>5.0</v>
      </c>
      <c r="DO248" s="361">
        <v>0.0</v>
      </c>
      <c r="DP248" s="361">
        <v>0.0</v>
      </c>
      <c r="DQ248" s="361">
        <v>0.0</v>
      </c>
      <c r="DR248" s="361">
        <v>2.61</v>
      </c>
      <c r="DS248" s="361">
        <v>21.07</v>
      </c>
      <c r="DW248" s="361">
        <v>5.02</v>
      </c>
      <c r="DX248" s="362">
        <v>5.0</v>
      </c>
      <c r="DY248" s="364">
        <v>89.97999999999999</v>
      </c>
      <c r="DZ248" s="361">
        <v>0.0</v>
      </c>
      <c r="ED248" s="362">
        <v>5.02</v>
      </c>
      <c r="EE248" s="362">
        <v>5.0</v>
      </c>
      <c r="EF248" s="364">
        <v>89.97999999999999</v>
      </c>
    </row>
    <row r="249" ht="12.0" customHeight="1">
      <c r="I249" s="41"/>
      <c r="J249" s="367" t="s">
        <v>253</v>
      </c>
      <c r="K249" s="366" t="s">
        <v>163</v>
      </c>
      <c r="L249" s="185">
        <v>57.0</v>
      </c>
      <c r="M249" s="185">
        <v>6.0</v>
      </c>
      <c r="S249" s="53"/>
      <c r="T249" s="65">
        <v>20.0</v>
      </c>
      <c r="U249" s="79">
        <v>27.47</v>
      </c>
      <c r="V249" s="79">
        <v>10.3</v>
      </c>
      <c r="W249" s="79">
        <v>8.67</v>
      </c>
      <c r="X249" s="397">
        <v>38.15</v>
      </c>
      <c r="Y249" s="79">
        <v>9.85</v>
      </c>
      <c r="Z249" s="79">
        <v>0.82</v>
      </c>
      <c r="AA249" s="79">
        <v>0.8</v>
      </c>
      <c r="AB249" s="81">
        <v>0.0</v>
      </c>
      <c r="AC249" s="79">
        <v>0.15</v>
      </c>
      <c r="AD249" s="79">
        <v>3.22</v>
      </c>
      <c r="AE249" s="81">
        <v>0.0</v>
      </c>
      <c r="AF249" s="81">
        <v>0.0</v>
      </c>
      <c r="AG249" s="81">
        <v>0.0</v>
      </c>
      <c r="AH249" s="81">
        <v>0.0</v>
      </c>
      <c r="AI249" s="82">
        <v>0.57</v>
      </c>
      <c r="AK249" s="53"/>
      <c r="AL249" s="65">
        <v>50.0</v>
      </c>
      <c r="AM249" s="76">
        <v>42.88</v>
      </c>
      <c r="AN249" s="81">
        <v>0.0</v>
      </c>
      <c r="AO249" s="79">
        <v>0.31</v>
      </c>
      <c r="AP249" s="81">
        <v>0.0</v>
      </c>
      <c r="AQ249" s="79">
        <v>17.87</v>
      </c>
      <c r="AR249" s="81">
        <v>0.0</v>
      </c>
      <c r="AS249" s="81">
        <v>0.0</v>
      </c>
      <c r="AT249" s="79">
        <v>30.95</v>
      </c>
      <c r="AU249" s="79">
        <v>0.42</v>
      </c>
      <c r="AV249" s="81">
        <v>0.0</v>
      </c>
      <c r="AW249" s="79">
        <v>4.47</v>
      </c>
      <c r="AX249" s="81">
        <v>0.0</v>
      </c>
      <c r="AY249" s="81">
        <v>0.0</v>
      </c>
      <c r="AZ249" s="81">
        <v>0.0</v>
      </c>
      <c r="BA249" s="82">
        <v>3.1</v>
      </c>
      <c r="CL249" s="360">
        <v>3.06</v>
      </c>
      <c r="CM249" s="360">
        <v>87.47</v>
      </c>
      <c r="CN249" s="360">
        <v>0.0</v>
      </c>
      <c r="CO249" s="360">
        <v>0.73</v>
      </c>
      <c r="CP249" s="360">
        <v>0.0</v>
      </c>
      <c r="CQ249" s="360">
        <v>0.0</v>
      </c>
      <c r="CR249" s="360">
        <v>0.0</v>
      </c>
      <c r="CS249" s="360">
        <v>0.0</v>
      </c>
      <c r="CT249" s="360">
        <v>0.0</v>
      </c>
      <c r="CU249" s="360">
        <v>0.0</v>
      </c>
      <c r="CV249" s="360">
        <v>0.0</v>
      </c>
      <c r="CW249" s="360">
        <v>0.0</v>
      </c>
      <c r="CX249" s="360">
        <v>0.0</v>
      </c>
      <c r="CY249" s="360">
        <v>1.17</v>
      </c>
      <c r="CZ249" s="360">
        <v>7.57</v>
      </c>
      <c r="DK249" s="83">
        <v>58.0</v>
      </c>
      <c r="DL249" s="361">
        <v>3.06</v>
      </c>
      <c r="DM249" s="361">
        <v>87.47</v>
      </c>
      <c r="DN249" s="362">
        <v>0.73</v>
      </c>
      <c r="DO249" s="361">
        <v>0.0</v>
      </c>
      <c r="DP249" s="361">
        <v>0.0</v>
      </c>
      <c r="DQ249" s="361">
        <v>0.0</v>
      </c>
      <c r="DR249" s="361">
        <v>1.17</v>
      </c>
      <c r="DS249" s="361">
        <v>7.57</v>
      </c>
      <c r="DW249" s="361">
        <v>3.06</v>
      </c>
      <c r="DX249" s="362">
        <v>0.73</v>
      </c>
      <c r="DY249" s="364">
        <v>96.21000000000001</v>
      </c>
      <c r="DZ249" s="361">
        <v>0.0</v>
      </c>
      <c r="ED249" s="362">
        <v>3.06</v>
      </c>
      <c r="EE249" s="362">
        <v>0.73</v>
      </c>
      <c r="EF249" s="364">
        <v>96.21000000000001</v>
      </c>
    </row>
    <row r="250" ht="12.0" customHeight="1">
      <c r="I250" s="41"/>
      <c r="J250" s="367" t="s">
        <v>253</v>
      </c>
      <c r="K250" s="366" t="s">
        <v>165</v>
      </c>
      <c r="L250" s="185">
        <v>58.0</v>
      </c>
      <c r="M250" s="185">
        <v>5.0</v>
      </c>
      <c r="S250" s="53"/>
      <c r="T250" s="65">
        <v>21.0</v>
      </c>
      <c r="U250" s="391">
        <v>28.94</v>
      </c>
      <c r="V250" s="79">
        <v>11.04</v>
      </c>
      <c r="W250" s="79">
        <v>0.1</v>
      </c>
      <c r="X250" s="79">
        <v>4.24</v>
      </c>
      <c r="Y250" s="79">
        <v>25.33</v>
      </c>
      <c r="Z250" s="79">
        <v>5.33</v>
      </c>
      <c r="AA250" s="81">
        <v>0.0</v>
      </c>
      <c r="AB250" s="81">
        <v>0.0</v>
      </c>
      <c r="AC250" s="79">
        <v>20.84</v>
      </c>
      <c r="AD250" s="79">
        <v>0.15</v>
      </c>
      <c r="AE250" s="79">
        <v>0.11</v>
      </c>
      <c r="AF250" s="81">
        <v>0.0</v>
      </c>
      <c r="AG250" s="81">
        <v>0.0</v>
      </c>
      <c r="AH250" s="81">
        <v>0.0</v>
      </c>
      <c r="AI250" s="82">
        <v>3.92</v>
      </c>
      <c r="AK250" s="53"/>
      <c r="AL250" s="65">
        <v>51.0</v>
      </c>
      <c r="AM250" s="90">
        <v>15.41</v>
      </c>
      <c r="AN250" s="81">
        <v>0.0</v>
      </c>
      <c r="AO250" s="400">
        <v>42.59</v>
      </c>
      <c r="AP250" s="79">
        <v>0.53</v>
      </c>
      <c r="AQ250" s="79">
        <v>10.01</v>
      </c>
      <c r="AR250" s="81">
        <v>0.0</v>
      </c>
      <c r="AS250" s="79">
        <v>5.54</v>
      </c>
      <c r="AT250" s="79">
        <v>17.71</v>
      </c>
      <c r="AU250" s="79">
        <v>0.04</v>
      </c>
      <c r="AV250" s="81">
        <v>0.0</v>
      </c>
      <c r="AW250" s="79">
        <v>1.45</v>
      </c>
      <c r="AX250" s="81">
        <v>0.0</v>
      </c>
      <c r="AY250" s="79">
        <v>1.09</v>
      </c>
      <c r="AZ250" s="81">
        <v>0.0</v>
      </c>
      <c r="BA250" s="82">
        <v>5.63</v>
      </c>
      <c r="CL250" s="360">
        <v>0.0</v>
      </c>
      <c r="CM250" s="360">
        <v>40.08</v>
      </c>
      <c r="CN250" s="360">
        <v>0.0</v>
      </c>
      <c r="CO250" s="360">
        <v>12.17</v>
      </c>
      <c r="CP250" s="360">
        <v>18.78</v>
      </c>
      <c r="CQ250" s="360">
        <v>0.0</v>
      </c>
      <c r="CR250" s="360">
        <v>0.0</v>
      </c>
      <c r="CS250" s="360">
        <v>0.0</v>
      </c>
      <c r="CT250" s="360">
        <v>7.76</v>
      </c>
      <c r="CU250" s="360">
        <v>0.0</v>
      </c>
      <c r="CV250" s="360">
        <v>1.68</v>
      </c>
      <c r="CW250" s="360">
        <v>0.0</v>
      </c>
      <c r="CX250" s="360">
        <v>0.0</v>
      </c>
      <c r="CY250" s="360">
        <v>0.79</v>
      </c>
      <c r="CZ250" s="360">
        <v>18.74</v>
      </c>
      <c r="DK250" s="83">
        <v>59.0</v>
      </c>
      <c r="DL250" s="361">
        <v>0.0</v>
      </c>
      <c r="DM250" s="361">
        <v>40.08</v>
      </c>
      <c r="DN250" s="362">
        <v>40.39</v>
      </c>
      <c r="DO250" s="361">
        <v>0.0</v>
      </c>
      <c r="DP250" s="361">
        <v>0.0</v>
      </c>
      <c r="DQ250" s="361">
        <v>0.0</v>
      </c>
      <c r="DR250" s="361">
        <v>0.79</v>
      </c>
      <c r="DS250" s="361">
        <v>18.74</v>
      </c>
      <c r="DW250" s="361">
        <v>0.0</v>
      </c>
      <c r="DX250" s="362">
        <v>40.39</v>
      </c>
      <c r="DY250" s="364">
        <v>59.61</v>
      </c>
      <c r="DZ250" s="361">
        <v>0.0</v>
      </c>
      <c r="ED250" s="362">
        <v>0.0</v>
      </c>
      <c r="EE250" s="362">
        <v>40.39</v>
      </c>
      <c r="EF250" s="364">
        <v>59.61</v>
      </c>
    </row>
    <row r="251" ht="12.0" customHeight="1">
      <c r="I251" s="41"/>
      <c r="J251" s="367" t="s">
        <v>253</v>
      </c>
      <c r="K251" s="366" t="s">
        <v>167</v>
      </c>
      <c r="L251" s="185">
        <v>59.0</v>
      </c>
      <c r="M251" s="185">
        <v>5.0</v>
      </c>
      <c r="S251" s="53"/>
      <c r="T251" s="65">
        <v>22.0</v>
      </c>
      <c r="U251" s="79">
        <v>17.73</v>
      </c>
      <c r="V251" s="79">
        <v>11.07</v>
      </c>
      <c r="W251" s="79">
        <v>23.84</v>
      </c>
      <c r="X251" s="397">
        <v>35.34</v>
      </c>
      <c r="Y251" s="79">
        <v>10.48</v>
      </c>
      <c r="Z251" s="81">
        <v>0.0</v>
      </c>
      <c r="AA251" s="79">
        <v>0.83</v>
      </c>
      <c r="AB251" s="81">
        <v>0.0</v>
      </c>
      <c r="AC251" s="81">
        <v>0.0</v>
      </c>
      <c r="AD251" s="79">
        <v>0.34</v>
      </c>
      <c r="AE251" s="81">
        <v>0.0</v>
      </c>
      <c r="AF251" s="81">
        <v>0.0</v>
      </c>
      <c r="AG251" s="81">
        <v>0.0</v>
      </c>
      <c r="AH251" s="79">
        <v>0.36</v>
      </c>
      <c r="AI251" s="82">
        <v>0.05</v>
      </c>
      <c r="AK251" s="53"/>
      <c r="AL251" s="65">
        <v>52.0</v>
      </c>
      <c r="AM251" s="90">
        <v>20.7</v>
      </c>
      <c r="AN251" s="81">
        <v>0.0</v>
      </c>
      <c r="AO251" s="79">
        <v>15.53</v>
      </c>
      <c r="AP251" s="81">
        <v>0.0</v>
      </c>
      <c r="AQ251" s="79">
        <v>19.99</v>
      </c>
      <c r="AR251" s="81">
        <v>0.0</v>
      </c>
      <c r="AS251" s="81">
        <v>0.0</v>
      </c>
      <c r="AT251" s="401">
        <v>25.4</v>
      </c>
      <c r="AU251" s="81">
        <v>0.0</v>
      </c>
      <c r="AV251" s="81">
        <v>0.0</v>
      </c>
      <c r="AW251" s="79">
        <v>0.37</v>
      </c>
      <c r="AX251" s="81">
        <v>0.0</v>
      </c>
      <c r="AY251" s="81">
        <v>0.0</v>
      </c>
      <c r="AZ251" s="81">
        <v>0.0</v>
      </c>
      <c r="BA251" s="82" t="s">
        <v>149</v>
      </c>
      <c r="CL251" s="360">
        <v>0.0</v>
      </c>
      <c r="CM251" s="360">
        <v>24.91</v>
      </c>
      <c r="CN251" s="360">
        <v>0.0</v>
      </c>
      <c r="CO251" s="360">
        <v>21.33</v>
      </c>
      <c r="CP251" s="360">
        <v>42.61</v>
      </c>
      <c r="CQ251" s="360">
        <v>0.0</v>
      </c>
      <c r="CR251" s="360">
        <v>0.0</v>
      </c>
      <c r="CS251" s="360">
        <v>0.0</v>
      </c>
      <c r="CT251" s="360">
        <v>0.0</v>
      </c>
      <c r="CU251" s="360">
        <v>0.0</v>
      </c>
      <c r="CV251" s="360">
        <v>1.85</v>
      </c>
      <c r="CW251" s="360">
        <v>0.0</v>
      </c>
      <c r="CX251" s="360">
        <v>0.0</v>
      </c>
      <c r="CY251" s="360">
        <v>0.27</v>
      </c>
      <c r="CZ251" s="360">
        <v>9.03</v>
      </c>
      <c r="DK251" s="83">
        <v>60.0</v>
      </c>
      <c r="DL251" s="361">
        <v>0.0</v>
      </c>
      <c r="DM251" s="361">
        <v>24.91</v>
      </c>
      <c r="DN251" s="362">
        <v>65.78999999999999</v>
      </c>
      <c r="DO251" s="361">
        <v>0.0</v>
      </c>
      <c r="DP251" s="361">
        <v>0.0</v>
      </c>
      <c r="DQ251" s="361">
        <v>0.0</v>
      </c>
      <c r="DR251" s="361">
        <v>0.27</v>
      </c>
      <c r="DS251" s="361">
        <v>9.03</v>
      </c>
      <c r="DW251" s="361">
        <v>0.0</v>
      </c>
      <c r="DX251" s="362">
        <v>65.78999999999999</v>
      </c>
      <c r="DY251" s="364">
        <v>34.21</v>
      </c>
      <c r="DZ251" s="361">
        <v>0.0</v>
      </c>
      <c r="ED251" s="362">
        <v>0.0</v>
      </c>
      <c r="EE251" s="362">
        <v>65.78999999999999</v>
      </c>
      <c r="EF251" s="364">
        <v>34.21</v>
      </c>
    </row>
    <row r="252" ht="12.0" customHeight="1">
      <c r="I252" s="41"/>
      <c r="J252" s="367" t="s">
        <v>253</v>
      </c>
      <c r="K252" s="366" t="s">
        <v>169</v>
      </c>
      <c r="L252" s="185">
        <v>60.0</v>
      </c>
      <c r="M252" s="185">
        <v>5.0</v>
      </c>
      <c r="S252" s="53"/>
      <c r="T252" s="65">
        <v>23.0</v>
      </c>
      <c r="U252" s="79">
        <v>16.05</v>
      </c>
      <c r="V252" s="79">
        <v>9.56</v>
      </c>
      <c r="W252" s="79">
        <v>14.52</v>
      </c>
      <c r="X252" s="397">
        <v>34.9</v>
      </c>
      <c r="Y252" s="79">
        <v>11.89</v>
      </c>
      <c r="Z252" s="79">
        <v>1.8</v>
      </c>
      <c r="AA252" s="79">
        <v>5.17</v>
      </c>
      <c r="AB252" s="81">
        <v>0.0</v>
      </c>
      <c r="AC252" s="81">
        <v>0.0</v>
      </c>
      <c r="AD252" s="79">
        <v>4.11</v>
      </c>
      <c r="AE252" s="79">
        <v>0.33</v>
      </c>
      <c r="AF252" s="81">
        <v>0.0</v>
      </c>
      <c r="AG252" s="81">
        <v>0.0</v>
      </c>
      <c r="AH252" s="79">
        <v>0.29</v>
      </c>
      <c r="AI252" s="82">
        <v>1.38</v>
      </c>
      <c r="AK252" s="53"/>
      <c r="AL252" s="65">
        <v>53.0</v>
      </c>
      <c r="AM252" s="90">
        <v>20.45</v>
      </c>
      <c r="AN252" s="81">
        <v>0.0</v>
      </c>
      <c r="AO252" s="79">
        <v>13.82</v>
      </c>
      <c r="AP252" s="79">
        <v>0.45</v>
      </c>
      <c r="AQ252" s="79">
        <v>6.69</v>
      </c>
      <c r="AR252" s="81">
        <v>0.0</v>
      </c>
      <c r="AS252" s="81">
        <v>0.0</v>
      </c>
      <c r="AT252" s="79">
        <v>22.42</v>
      </c>
      <c r="AU252" s="79">
        <v>0.11</v>
      </c>
      <c r="AV252" s="81">
        <v>0.0</v>
      </c>
      <c r="AW252" s="79">
        <v>3.16</v>
      </c>
      <c r="AX252" s="81">
        <v>0.0</v>
      </c>
      <c r="AY252" s="81">
        <v>0.0</v>
      </c>
      <c r="AZ252" s="81">
        <v>0.0</v>
      </c>
      <c r="BA252" s="109" t="s">
        <v>154</v>
      </c>
      <c r="BF252" s="402" t="s">
        <v>266</v>
      </c>
      <c r="BG252" s="350" t="s">
        <v>267</v>
      </c>
      <c r="BH252" s="403"/>
      <c r="BI252" s="404" t="s">
        <v>193</v>
      </c>
      <c r="BJ252" s="405"/>
      <c r="BL252" s="406" t="s">
        <v>268</v>
      </c>
      <c r="BM252" s="350" t="s">
        <v>269</v>
      </c>
      <c r="BN252" s="403"/>
      <c r="BO252" s="404" t="s">
        <v>193</v>
      </c>
      <c r="BP252" s="405"/>
      <c r="BR252" s="406" t="s">
        <v>270</v>
      </c>
      <c r="BS252" s="350" t="s">
        <v>271</v>
      </c>
      <c r="BT252" s="403"/>
      <c r="BU252" s="404" t="s">
        <v>193</v>
      </c>
      <c r="BV252" s="405"/>
      <c r="CJ252" s="360">
        <v>0.0</v>
      </c>
      <c r="CK252" s="360">
        <v>45.68</v>
      </c>
      <c r="CL252" s="360">
        <v>0.0</v>
      </c>
      <c r="CM252" s="360">
        <v>31.59</v>
      </c>
      <c r="CN252" s="360">
        <v>0.0</v>
      </c>
      <c r="CO252" s="360">
        <v>0.0</v>
      </c>
      <c r="CP252" s="360">
        <v>5.5</v>
      </c>
      <c r="CQ252" s="360">
        <v>0.0</v>
      </c>
      <c r="CR252" s="360">
        <v>0.0</v>
      </c>
      <c r="CS252" s="360">
        <v>0.0</v>
      </c>
      <c r="CT252" s="360">
        <v>0.74</v>
      </c>
      <c r="CU252" s="360">
        <v>0.0</v>
      </c>
      <c r="CV252" s="360">
        <v>0.0</v>
      </c>
      <c r="CW252" s="360">
        <v>0.61</v>
      </c>
      <c r="CX252" s="360">
        <v>15.88</v>
      </c>
      <c r="DI252" s="83">
        <v>61.0</v>
      </c>
      <c r="DJ252" s="361">
        <v>0.0</v>
      </c>
      <c r="DK252" s="361">
        <v>45.68</v>
      </c>
      <c r="DL252" s="362">
        <v>32.33</v>
      </c>
      <c r="DM252" s="361">
        <v>5.5</v>
      </c>
      <c r="DN252" s="361">
        <v>0.0</v>
      </c>
      <c r="DO252" s="361">
        <v>0.0</v>
      </c>
      <c r="DP252" s="361">
        <v>0.61</v>
      </c>
      <c r="DQ252" s="361">
        <v>15.88</v>
      </c>
      <c r="DU252" s="361">
        <v>0.0</v>
      </c>
      <c r="DV252" s="362">
        <v>32.33</v>
      </c>
      <c r="DW252" s="364">
        <v>62.17</v>
      </c>
      <c r="DX252" s="361">
        <v>5.5</v>
      </c>
      <c r="EB252" s="362">
        <v>5.5</v>
      </c>
      <c r="EC252" s="362">
        <v>32.33</v>
      </c>
      <c r="ED252" s="364">
        <v>62.17</v>
      </c>
    </row>
    <row r="253" ht="12.0" customHeight="1">
      <c r="I253" s="41"/>
      <c r="J253" s="367" t="s">
        <v>253</v>
      </c>
      <c r="K253" s="366" t="s">
        <v>171</v>
      </c>
      <c r="L253" s="185">
        <v>61.0</v>
      </c>
      <c r="M253" s="185">
        <v>6.0</v>
      </c>
      <c r="S253" s="53"/>
      <c r="T253" s="65">
        <v>29.0</v>
      </c>
      <c r="U253" s="391">
        <v>62.29</v>
      </c>
      <c r="V253" s="79">
        <v>11.35</v>
      </c>
      <c r="W253" s="79">
        <v>1.98</v>
      </c>
      <c r="X253" s="81">
        <v>0.0</v>
      </c>
      <c r="Y253" s="79">
        <v>1.64</v>
      </c>
      <c r="Z253" s="79">
        <v>22.22</v>
      </c>
      <c r="AA253" s="81">
        <v>0.0</v>
      </c>
      <c r="AB253" s="81">
        <v>0.0</v>
      </c>
      <c r="AC253" s="81">
        <v>0.0</v>
      </c>
      <c r="AD253" s="81">
        <v>0.0</v>
      </c>
      <c r="AE253" s="81">
        <v>0.0</v>
      </c>
      <c r="AF253" s="81">
        <v>0.0</v>
      </c>
      <c r="AG253" s="81">
        <v>0.0</v>
      </c>
      <c r="AH253" s="81">
        <v>0.0</v>
      </c>
      <c r="AI253" s="82">
        <v>0.52</v>
      </c>
      <c r="AK253" s="53"/>
      <c r="AL253" s="65">
        <v>54.0</v>
      </c>
      <c r="AM253" s="90">
        <v>23.78</v>
      </c>
      <c r="AN253" s="81">
        <v>0.0</v>
      </c>
      <c r="AO253" s="400">
        <v>43.61</v>
      </c>
      <c r="AP253" s="79">
        <v>0.63</v>
      </c>
      <c r="AQ253" s="79">
        <v>2.02</v>
      </c>
      <c r="AR253" s="81">
        <v>0.0</v>
      </c>
      <c r="AS253" s="81">
        <v>0.0</v>
      </c>
      <c r="AT253" s="79">
        <v>18.14</v>
      </c>
      <c r="AU253" s="79">
        <v>0.14</v>
      </c>
      <c r="AV253" s="79">
        <v>0.01</v>
      </c>
      <c r="AW253" s="79">
        <v>0.62</v>
      </c>
      <c r="AX253" s="81">
        <v>0.0</v>
      </c>
      <c r="AY253" s="79">
        <v>0.92</v>
      </c>
      <c r="AZ253" s="81">
        <v>0.0</v>
      </c>
      <c r="BA253" s="82">
        <v>10.13</v>
      </c>
      <c r="BF253" s="53"/>
      <c r="BG253" s="121"/>
      <c r="BH253" s="407"/>
      <c r="BI253" s="408" t="s">
        <v>202</v>
      </c>
      <c r="BJ253" s="409" t="s">
        <v>192</v>
      </c>
      <c r="BL253" s="53"/>
      <c r="BM253" s="121"/>
      <c r="BN253" s="407"/>
      <c r="BO253" s="408" t="s">
        <v>202</v>
      </c>
      <c r="BP253" s="409" t="s">
        <v>192</v>
      </c>
      <c r="BR253" s="53"/>
      <c r="BS253" s="121"/>
      <c r="BT253" s="407"/>
      <c r="BU253" s="408" t="s">
        <v>202</v>
      </c>
      <c r="BV253" s="409" t="s">
        <v>192</v>
      </c>
      <c r="CJ253" s="360">
        <v>12.0</v>
      </c>
      <c r="CK253" s="360">
        <v>26.94</v>
      </c>
      <c r="CL253" s="360">
        <v>22.75</v>
      </c>
      <c r="CM253" s="360">
        <v>34.22</v>
      </c>
      <c r="CN253" s="360">
        <v>0.0</v>
      </c>
      <c r="CO253" s="360">
        <v>0.0</v>
      </c>
      <c r="CP253" s="360">
        <v>0.0</v>
      </c>
      <c r="CQ253" s="360">
        <v>0.0</v>
      </c>
      <c r="CR253" s="360">
        <v>2.84</v>
      </c>
      <c r="CS253" s="360">
        <v>0.0</v>
      </c>
      <c r="CT253" s="360">
        <v>0.0</v>
      </c>
      <c r="CU253" s="360">
        <v>0.0</v>
      </c>
      <c r="CV253" s="360">
        <v>0.0</v>
      </c>
      <c r="CW253" s="360">
        <v>0.0</v>
      </c>
      <c r="CX253" s="360">
        <v>1.25</v>
      </c>
      <c r="DI253" s="83">
        <v>62.0</v>
      </c>
      <c r="DJ253" s="361">
        <v>12.0</v>
      </c>
      <c r="DK253" s="361">
        <v>26.94</v>
      </c>
      <c r="DL253" s="362">
        <v>59.81</v>
      </c>
      <c r="DM253" s="361">
        <v>0.0</v>
      </c>
      <c r="DN253" s="361">
        <v>0.0</v>
      </c>
      <c r="DO253" s="361">
        <v>0.0</v>
      </c>
      <c r="DP253" s="361">
        <v>0.0</v>
      </c>
      <c r="DQ253" s="361">
        <v>1.25</v>
      </c>
      <c r="DU253" s="361">
        <v>12.0</v>
      </c>
      <c r="DV253" s="362">
        <v>59.81</v>
      </c>
      <c r="DW253" s="364">
        <v>28.19</v>
      </c>
      <c r="DX253" s="361">
        <v>0.0</v>
      </c>
      <c r="EB253" s="362">
        <v>12.0</v>
      </c>
      <c r="EC253" s="362">
        <v>59.81</v>
      </c>
      <c r="ED253" s="364">
        <v>28.19</v>
      </c>
    </row>
    <row r="254" ht="12.0" customHeight="1">
      <c r="I254" s="41"/>
      <c r="J254" s="367" t="s">
        <v>253</v>
      </c>
      <c r="K254" s="366" t="s">
        <v>173</v>
      </c>
      <c r="L254" s="185">
        <v>62.0</v>
      </c>
      <c r="M254" s="185">
        <v>7.0</v>
      </c>
      <c r="S254" s="53"/>
      <c r="T254" s="65">
        <v>30.0</v>
      </c>
      <c r="U254" s="391">
        <v>47.0</v>
      </c>
      <c r="V254" s="79">
        <v>22.39</v>
      </c>
      <c r="W254" s="79">
        <v>3.83</v>
      </c>
      <c r="X254" s="81">
        <v>0.0</v>
      </c>
      <c r="Y254" s="79">
        <v>1.57</v>
      </c>
      <c r="Z254" s="79">
        <v>24.16</v>
      </c>
      <c r="AA254" s="81">
        <v>0.0</v>
      </c>
      <c r="AB254" s="81">
        <v>0.0</v>
      </c>
      <c r="AC254" s="79">
        <v>0.05</v>
      </c>
      <c r="AD254" s="81">
        <v>0.0</v>
      </c>
      <c r="AE254" s="81">
        <v>0.0</v>
      </c>
      <c r="AF254" s="81">
        <v>0.0</v>
      </c>
      <c r="AG254" s="81">
        <v>0.0</v>
      </c>
      <c r="AH254" s="81">
        <v>0.0</v>
      </c>
      <c r="AI254" s="82">
        <v>1.0</v>
      </c>
      <c r="AK254" s="53"/>
      <c r="AL254" s="65">
        <v>55.0</v>
      </c>
      <c r="AM254" s="90">
        <v>28.1</v>
      </c>
      <c r="AN254" s="81">
        <v>0.0</v>
      </c>
      <c r="AO254" s="400">
        <v>36.86</v>
      </c>
      <c r="AP254" s="79">
        <v>2.66</v>
      </c>
      <c r="AQ254" s="79">
        <v>2.78</v>
      </c>
      <c r="AR254" s="81">
        <v>0.0</v>
      </c>
      <c r="AS254" s="81">
        <v>0.0</v>
      </c>
      <c r="AT254" s="79">
        <v>21.58</v>
      </c>
      <c r="AU254" s="81">
        <v>0.0</v>
      </c>
      <c r="AV254" s="81">
        <v>0.0</v>
      </c>
      <c r="AW254" s="79">
        <v>0.05</v>
      </c>
      <c r="AX254" s="81">
        <v>0.0</v>
      </c>
      <c r="AY254" s="81">
        <v>0.0</v>
      </c>
      <c r="AZ254" s="81">
        <v>0.0</v>
      </c>
      <c r="BA254" s="82" t="s">
        <v>160</v>
      </c>
      <c r="BF254" s="53"/>
      <c r="BG254" s="410"/>
      <c r="BH254" s="411" t="s">
        <v>203</v>
      </c>
      <c r="BI254" s="263">
        <v>163.0</v>
      </c>
      <c r="BJ254" s="412">
        <v>36.71</v>
      </c>
      <c r="BL254" s="53"/>
      <c r="BM254" s="410"/>
      <c r="BN254" s="411" t="s">
        <v>203</v>
      </c>
      <c r="BO254" s="263">
        <v>142.0</v>
      </c>
      <c r="BP254" s="413">
        <f t="shared" ref="BP254:BP268" si="24">BO254/$BV$248</f>
        <v>0.3198198198</v>
      </c>
      <c r="BR254" s="53"/>
      <c r="BS254" s="410"/>
      <c r="BT254" s="411" t="s">
        <v>203</v>
      </c>
      <c r="BU254" s="263">
        <v>141.0</v>
      </c>
      <c r="BV254" s="413">
        <f t="shared" ref="BV254:BV268" si="25">BU254/$BV$248</f>
        <v>0.3175675676</v>
      </c>
      <c r="CJ254" s="360">
        <v>30.52</v>
      </c>
      <c r="CK254" s="360">
        <v>12.18</v>
      </c>
      <c r="CL254" s="360">
        <v>15.77</v>
      </c>
      <c r="CM254" s="360">
        <v>13.33</v>
      </c>
      <c r="CN254" s="360">
        <v>12.45</v>
      </c>
      <c r="CO254" s="360">
        <v>0.0</v>
      </c>
      <c r="CP254" s="360">
        <v>0.0</v>
      </c>
      <c r="CQ254" s="360">
        <v>0.0</v>
      </c>
      <c r="CR254" s="360">
        <v>0.64</v>
      </c>
      <c r="CS254" s="360">
        <v>0.0</v>
      </c>
      <c r="CT254" s="360">
        <v>1.33</v>
      </c>
      <c r="CU254" s="360">
        <v>0.0</v>
      </c>
      <c r="CV254" s="360">
        <v>0.0</v>
      </c>
      <c r="CW254" s="360">
        <v>3.42</v>
      </c>
      <c r="CX254" s="360">
        <v>10.36</v>
      </c>
      <c r="DI254" s="83">
        <v>63.0</v>
      </c>
      <c r="DJ254" s="361">
        <v>30.52</v>
      </c>
      <c r="DK254" s="361">
        <v>12.18</v>
      </c>
      <c r="DL254" s="362">
        <v>43.519999999999996</v>
      </c>
      <c r="DM254" s="361">
        <v>0.0</v>
      </c>
      <c r="DN254" s="361">
        <v>0.0</v>
      </c>
      <c r="DO254" s="361">
        <v>0.0</v>
      </c>
      <c r="DP254" s="361">
        <v>3.42</v>
      </c>
      <c r="DQ254" s="361">
        <v>10.36</v>
      </c>
      <c r="DU254" s="363">
        <v>30.52</v>
      </c>
      <c r="DV254" s="362">
        <v>43.519999999999996</v>
      </c>
      <c r="DW254" s="364">
        <v>25.96</v>
      </c>
      <c r="DX254" s="361">
        <v>0.0</v>
      </c>
      <c r="EB254" s="362">
        <v>30.52</v>
      </c>
      <c r="EC254" s="362">
        <v>43.519999999999996</v>
      </c>
      <c r="ED254" s="364">
        <v>25.96</v>
      </c>
    </row>
    <row r="255" ht="12.0" customHeight="1">
      <c r="I255" s="41"/>
      <c r="J255" s="367" t="s">
        <v>253</v>
      </c>
      <c r="K255" s="366" t="s">
        <v>175</v>
      </c>
      <c r="L255" s="185">
        <v>63.0</v>
      </c>
      <c r="M255" s="185">
        <v>5.0</v>
      </c>
      <c r="S255" s="53"/>
      <c r="T255" s="65">
        <v>31.0</v>
      </c>
      <c r="U255" s="391">
        <v>57.05</v>
      </c>
      <c r="V255" s="79">
        <v>12.89</v>
      </c>
      <c r="W255" s="79">
        <v>3.61</v>
      </c>
      <c r="X255" s="81">
        <v>0.0</v>
      </c>
      <c r="Y255" s="81">
        <v>0.0</v>
      </c>
      <c r="Z255" s="79">
        <v>26.05</v>
      </c>
      <c r="AA255" s="81">
        <v>0.0</v>
      </c>
      <c r="AB255" s="81">
        <v>0.0</v>
      </c>
      <c r="AC255" s="81">
        <v>0.0</v>
      </c>
      <c r="AD255" s="81">
        <v>0.0</v>
      </c>
      <c r="AE255" s="81">
        <v>0.0</v>
      </c>
      <c r="AF255" s="81">
        <v>0.0</v>
      </c>
      <c r="AG255" s="81">
        <v>0.0</v>
      </c>
      <c r="AH255" s="81">
        <v>0.0</v>
      </c>
      <c r="AI255" s="82">
        <v>0.4</v>
      </c>
      <c r="AK255" s="53"/>
      <c r="AL255" s="65">
        <v>56.0</v>
      </c>
      <c r="AM255" s="110">
        <v>0.0</v>
      </c>
      <c r="AN255" s="392">
        <v>84.48</v>
      </c>
      <c r="AO255" s="81">
        <v>0.0</v>
      </c>
      <c r="AP255" s="79">
        <v>2.76</v>
      </c>
      <c r="AQ255" s="79">
        <v>2.3</v>
      </c>
      <c r="AR255" s="81">
        <v>0.0</v>
      </c>
      <c r="AS255" s="79">
        <v>3.24</v>
      </c>
      <c r="AT255" s="81">
        <v>0.0</v>
      </c>
      <c r="AU255" s="81">
        <v>0.0</v>
      </c>
      <c r="AV255" s="81">
        <v>0.0</v>
      </c>
      <c r="AW255" s="81">
        <v>0.0</v>
      </c>
      <c r="AX255" s="81">
        <v>0.0</v>
      </c>
      <c r="AY255" s="81">
        <v>0.0</v>
      </c>
      <c r="AZ255" s="79">
        <v>1.05</v>
      </c>
      <c r="BA255" s="82">
        <v>6.17</v>
      </c>
      <c r="BF255" s="53"/>
      <c r="BG255" s="414"/>
      <c r="BH255" s="253" t="s">
        <v>204</v>
      </c>
      <c r="BI255" s="239">
        <v>66.0</v>
      </c>
      <c r="BJ255" s="415">
        <v>14.86</v>
      </c>
      <c r="BL255" s="53"/>
      <c r="BM255" s="414"/>
      <c r="BN255" s="253" t="s">
        <v>204</v>
      </c>
      <c r="BO255" s="239">
        <v>74.0</v>
      </c>
      <c r="BP255" s="416">
        <f t="shared" si="24"/>
        <v>0.1666666667</v>
      </c>
      <c r="BR255" s="53"/>
      <c r="BS255" s="414"/>
      <c r="BT255" s="253" t="s">
        <v>204</v>
      </c>
      <c r="BU255" s="239">
        <v>72.0</v>
      </c>
      <c r="BV255" s="416">
        <f t="shared" si="25"/>
        <v>0.1621621622</v>
      </c>
      <c r="CJ255" s="360">
        <v>0.0</v>
      </c>
      <c r="CK255" s="360">
        <v>30.66</v>
      </c>
      <c r="CL255" s="360">
        <v>4.19</v>
      </c>
      <c r="CM255" s="360">
        <v>47.33</v>
      </c>
      <c r="CN255" s="360">
        <v>0.0</v>
      </c>
      <c r="CO255" s="360">
        <v>0.0</v>
      </c>
      <c r="CP255" s="360">
        <v>9.05</v>
      </c>
      <c r="CQ255" s="360">
        <v>0.0</v>
      </c>
      <c r="CR255" s="360">
        <v>0.0</v>
      </c>
      <c r="CS255" s="360">
        <v>0.0</v>
      </c>
      <c r="CT255" s="360">
        <v>0.0</v>
      </c>
      <c r="CU255" s="360">
        <v>0.0</v>
      </c>
      <c r="CV255" s="360">
        <v>0.0</v>
      </c>
      <c r="CW255" s="360">
        <v>2.72</v>
      </c>
      <c r="CX255" s="360">
        <v>6.05</v>
      </c>
      <c r="DI255" s="83">
        <v>64.0</v>
      </c>
      <c r="DJ255" s="361">
        <v>0.0</v>
      </c>
      <c r="DK255" s="361">
        <v>30.66</v>
      </c>
      <c r="DL255" s="362">
        <v>51.519999999999996</v>
      </c>
      <c r="DM255" s="361">
        <v>9.05</v>
      </c>
      <c r="DN255" s="361">
        <v>0.0</v>
      </c>
      <c r="DO255" s="361">
        <v>0.0</v>
      </c>
      <c r="DP255" s="361">
        <v>2.72</v>
      </c>
      <c r="DQ255" s="361">
        <v>6.05</v>
      </c>
      <c r="DU255" s="361">
        <v>0.0</v>
      </c>
      <c r="DV255" s="362">
        <v>51.519999999999996</v>
      </c>
      <c r="DW255" s="364">
        <v>39.43</v>
      </c>
      <c r="DX255" s="361">
        <v>9.05</v>
      </c>
      <c r="EB255" s="362">
        <v>9.05</v>
      </c>
      <c r="EC255" s="362">
        <v>51.519999999999996</v>
      </c>
      <c r="ED255" s="364">
        <v>39.43</v>
      </c>
    </row>
    <row r="256" ht="12.0" customHeight="1">
      <c r="I256" s="41"/>
      <c r="J256" s="367" t="s">
        <v>253</v>
      </c>
      <c r="K256" s="366" t="s">
        <v>177</v>
      </c>
      <c r="L256" s="185">
        <v>64.0</v>
      </c>
      <c r="M256" s="185">
        <v>6.0</v>
      </c>
      <c r="S256" s="53"/>
      <c r="T256" s="65">
        <v>32.0</v>
      </c>
      <c r="U256" s="391">
        <v>47.47</v>
      </c>
      <c r="V256" s="79">
        <v>19.91</v>
      </c>
      <c r="W256" s="79">
        <v>1.09</v>
      </c>
      <c r="X256" s="81">
        <v>0.0</v>
      </c>
      <c r="Y256" s="79">
        <v>3.55</v>
      </c>
      <c r="Z256" s="79">
        <v>27.0</v>
      </c>
      <c r="AA256" s="81">
        <v>0.0</v>
      </c>
      <c r="AB256" s="81">
        <v>0.0</v>
      </c>
      <c r="AC256" s="81">
        <v>0.0</v>
      </c>
      <c r="AD256" s="81">
        <v>0.0</v>
      </c>
      <c r="AE256" s="81">
        <v>0.0</v>
      </c>
      <c r="AF256" s="81">
        <v>0.0</v>
      </c>
      <c r="AG256" s="81">
        <v>0.0</v>
      </c>
      <c r="AH256" s="81">
        <v>0.0</v>
      </c>
      <c r="AI256" s="82">
        <v>0.98</v>
      </c>
      <c r="AK256" s="53"/>
      <c r="AL256" s="65">
        <v>57.0</v>
      </c>
      <c r="AM256" s="90">
        <v>5.02</v>
      </c>
      <c r="AN256" s="392">
        <v>66.3</v>
      </c>
      <c r="AO256" s="81">
        <v>0.0</v>
      </c>
      <c r="AP256" s="79">
        <v>3.76</v>
      </c>
      <c r="AQ256" s="79">
        <v>1.24</v>
      </c>
      <c r="AR256" s="81">
        <v>0.0</v>
      </c>
      <c r="AS256" s="81">
        <v>0.0</v>
      </c>
      <c r="AT256" s="81">
        <v>0.0</v>
      </c>
      <c r="AU256" s="81">
        <v>0.0</v>
      </c>
      <c r="AV256" s="81">
        <v>0.0</v>
      </c>
      <c r="AW256" s="81">
        <v>0.0</v>
      </c>
      <c r="AX256" s="81">
        <v>0.0</v>
      </c>
      <c r="AY256" s="81">
        <v>0.0</v>
      </c>
      <c r="AZ256" s="79">
        <v>2.61</v>
      </c>
      <c r="BA256" s="82">
        <v>21.07</v>
      </c>
      <c r="BF256" s="53"/>
      <c r="BG256" s="417"/>
      <c r="BH256" s="253" t="s">
        <v>228</v>
      </c>
      <c r="BI256" s="239">
        <v>70.0</v>
      </c>
      <c r="BJ256" s="415">
        <v>15.77</v>
      </c>
      <c r="BL256" s="53"/>
      <c r="BM256" s="417"/>
      <c r="BN256" s="253" t="s">
        <v>228</v>
      </c>
      <c r="BO256" s="239">
        <v>62.0</v>
      </c>
      <c r="BP256" s="416">
        <f t="shared" si="24"/>
        <v>0.1396396396</v>
      </c>
      <c r="BR256" s="53"/>
      <c r="BS256" s="417"/>
      <c r="BT256" s="253" t="s">
        <v>228</v>
      </c>
      <c r="BU256" s="239">
        <v>62.0</v>
      </c>
      <c r="BV256" s="416">
        <f t="shared" si="25"/>
        <v>0.1396396396</v>
      </c>
    </row>
    <row r="257" ht="12.0" customHeight="1">
      <c r="S257" s="53"/>
      <c r="T257" s="65">
        <v>33.0</v>
      </c>
      <c r="U257" s="391">
        <v>48.47</v>
      </c>
      <c r="V257" s="79">
        <v>12.86</v>
      </c>
      <c r="W257" s="79">
        <v>4.02</v>
      </c>
      <c r="X257" s="79">
        <v>1.26</v>
      </c>
      <c r="Y257" s="79">
        <v>2.36</v>
      </c>
      <c r="Z257" s="79">
        <v>30.8</v>
      </c>
      <c r="AA257" s="81">
        <v>0.0</v>
      </c>
      <c r="AB257" s="81">
        <v>0.0</v>
      </c>
      <c r="AC257" s="81">
        <v>0.0</v>
      </c>
      <c r="AD257" s="81">
        <v>0.0</v>
      </c>
      <c r="AE257" s="81">
        <v>0.0</v>
      </c>
      <c r="AF257" s="81">
        <v>0.0</v>
      </c>
      <c r="AG257" s="81">
        <v>0.0</v>
      </c>
      <c r="AH257" s="81">
        <v>0.0</v>
      </c>
      <c r="AI257" s="82">
        <v>0.23</v>
      </c>
      <c r="AK257" s="53"/>
      <c r="AL257" s="65">
        <v>58.0</v>
      </c>
      <c r="AM257" s="90">
        <v>3.06</v>
      </c>
      <c r="AN257" s="392">
        <v>87.47</v>
      </c>
      <c r="AO257" s="81">
        <v>0.0</v>
      </c>
      <c r="AP257" s="79">
        <v>0.73</v>
      </c>
      <c r="AQ257" s="81">
        <v>0.0</v>
      </c>
      <c r="AR257" s="81">
        <v>0.0</v>
      </c>
      <c r="AS257" s="81">
        <v>0.0</v>
      </c>
      <c r="AT257" s="81">
        <v>0.0</v>
      </c>
      <c r="AU257" s="81">
        <v>0.0</v>
      </c>
      <c r="AV257" s="81">
        <v>0.0</v>
      </c>
      <c r="AW257" s="81">
        <v>0.0</v>
      </c>
      <c r="AX257" s="81">
        <v>0.0</v>
      </c>
      <c r="AY257" s="81">
        <v>0.0</v>
      </c>
      <c r="AZ257" s="79">
        <v>1.17</v>
      </c>
      <c r="BA257" s="82">
        <v>7.57</v>
      </c>
      <c r="BF257" s="53"/>
      <c r="BG257" s="418"/>
      <c r="BH257" s="253" t="s">
        <v>229</v>
      </c>
      <c r="BI257" s="239">
        <v>49.0</v>
      </c>
      <c r="BJ257" s="415">
        <v>11.04</v>
      </c>
      <c r="BL257" s="53"/>
      <c r="BM257" s="418"/>
      <c r="BN257" s="253" t="s">
        <v>229</v>
      </c>
      <c r="BO257" s="239">
        <v>50.0</v>
      </c>
      <c r="BP257" s="416">
        <f t="shared" si="24"/>
        <v>0.1126126126</v>
      </c>
      <c r="BR257" s="53"/>
      <c r="BS257" s="418"/>
      <c r="BT257" s="253" t="s">
        <v>229</v>
      </c>
      <c r="BU257" s="239">
        <v>49.0</v>
      </c>
      <c r="BV257" s="416">
        <f t="shared" si="25"/>
        <v>0.1103603604</v>
      </c>
    </row>
    <row r="258" ht="12.0" customHeight="1">
      <c r="S258" s="53"/>
      <c r="T258" s="65">
        <v>34.0</v>
      </c>
      <c r="U258" s="391">
        <v>75.99</v>
      </c>
      <c r="V258" s="79">
        <v>0.01</v>
      </c>
      <c r="W258" s="81">
        <v>0.0</v>
      </c>
      <c r="X258" s="81">
        <v>0.0</v>
      </c>
      <c r="Y258" s="79">
        <v>3.59</v>
      </c>
      <c r="Z258" s="79">
        <v>16.65</v>
      </c>
      <c r="AA258" s="81">
        <v>0.0</v>
      </c>
      <c r="AB258" s="81">
        <v>0.0</v>
      </c>
      <c r="AC258" s="79">
        <v>2.08</v>
      </c>
      <c r="AD258" s="81">
        <v>0.0</v>
      </c>
      <c r="AE258" s="81">
        <v>0.0</v>
      </c>
      <c r="AF258" s="81">
        <v>0.0</v>
      </c>
      <c r="AG258" s="81">
        <v>0.0</v>
      </c>
      <c r="AH258" s="81">
        <v>0.0</v>
      </c>
      <c r="AI258" s="82">
        <v>1.68</v>
      </c>
      <c r="AK258" s="53"/>
      <c r="AL258" s="65">
        <v>59.0</v>
      </c>
      <c r="AM258" s="110">
        <v>0.0</v>
      </c>
      <c r="AN258" s="392">
        <v>40.08</v>
      </c>
      <c r="AO258" s="81">
        <v>0.0</v>
      </c>
      <c r="AP258" s="79">
        <v>12.17</v>
      </c>
      <c r="AQ258" s="79">
        <v>18.78</v>
      </c>
      <c r="AR258" s="81">
        <v>0.0</v>
      </c>
      <c r="AS258" s="81">
        <v>0.0</v>
      </c>
      <c r="AT258" s="81">
        <v>0.0</v>
      </c>
      <c r="AU258" s="79">
        <v>7.76</v>
      </c>
      <c r="AV258" s="81">
        <v>0.0</v>
      </c>
      <c r="AW258" s="79">
        <v>1.68</v>
      </c>
      <c r="AX258" s="81">
        <v>0.0</v>
      </c>
      <c r="AY258" s="81">
        <v>0.0</v>
      </c>
      <c r="AZ258" s="79">
        <v>0.79</v>
      </c>
      <c r="BA258" s="82">
        <v>18.74</v>
      </c>
      <c r="BF258" s="53"/>
      <c r="BG258" s="419"/>
      <c r="BH258" s="253" t="s">
        <v>230</v>
      </c>
      <c r="BI258" s="239">
        <v>41.0</v>
      </c>
      <c r="BJ258" s="415">
        <v>9.23</v>
      </c>
      <c r="BL258" s="53"/>
      <c r="BM258" s="419"/>
      <c r="BN258" s="253" t="s">
        <v>230</v>
      </c>
      <c r="BO258" s="239">
        <v>45.0</v>
      </c>
      <c r="BP258" s="416">
        <f t="shared" si="24"/>
        <v>0.1013513514</v>
      </c>
      <c r="BR258" s="53"/>
      <c r="BS258" s="419"/>
      <c r="BT258" s="253" t="s">
        <v>230</v>
      </c>
      <c r="BU258" s="239">
        <v>45.0</v>
      </c>
      <c r="BV258" s="416">
        <f t="shared" si="25"/>
        <v>0.1013513514</v>
      </c>
      <c r="CJ258" s="360" t="str">
        <f t="shared" ref="CJ258:CW258" si="26">CM192&amp;","</f>
        <v>41.99,</v>
      </c>
      <c r="CK258" s="360" t="str">
        <f t="shared" si="26"/>
        <v>12.59,</v>
      </c>
      <c r="CL258" s="360" t="str">
        <f t="shared" si="26"/>
        <v>0,</v>
      </c>
      <c r="CM258" s="360" t="str">
        <f t="shared" si="26"/>
        <v>0,</v>
      </c>
      <c r="CN258" s="360" t="str">
        <f t="shared" si="26"/>
        <v>20.73,</v>
      </c>
      <c r="CO258" s="360" t="str">
        <f t="shared" si="26"/>
        <v>1.27,</v>
      </c>
      <c r="CP258" s="360" t="str">
        <f t="shared" si="26"/>
        <v>1.61,</v>
      </c>
      <c r="CQ258" s="360" t="str">
        <f t="shared" si="26"/>
        <v>0,</v>
      </c>
      <c r="CR258" s="420" t="str">
        <f t="shared" si="26"/>
        <v>6.7,</v>
      </c>
      <c r="CS258" s="360" t="str">
        <f t="shared" si="26"/>
        <v>0,</v>
      </c>
      <c r="CT258" s="360" t="str">
        <f t="shared" si="26"/>
        <v>4.73,</v>
      </c>
      <c r="CU258" s="360" t="str">
        <f t="shared" si="26"/>
        <v>0,</v>
      </c>
      <c r="CV258" s="360" t="str">
        <f t="shared" si="26"/>
        <v>0,</v>
      </c>
      <c r="CW258" s="360" t="str">
        <f t="shared" si="26"/>
        <v>5.78,</v>
      </c>
      <c r="CX258" s="360">
        <v>4.6</v>
      </c>
    </row>
    <row r="259" ht="12.0" customHeight="1">
      <c r="S259" s="53"/>
      <c r="T259" s="65">
        <v>35.0</v>
      </c>
      <c r="U259" s="391">
        <v>50.9</v>
      </c>
      <c r="V259" s="79">
        <v>10.96</v>
      </c>
      <c r="W259" s="79">
        <v>6.54</v>
      </c>
      <c r="X259" s="81">
        <v>0.0</v>
      </c>
      <c r="Y259" s="79">
        <v>0.41</v>
      </c>
      <c r="Z259" s="79">
        <v>30.79</v>
      </c>
      <c r="AA259" s="81">
        <v>0.0</v>
      </c>
      <c r="AB259" s="81">
        <v>0.0</v>
      </c>
      <c r="AC259" s="81">
        <v>0.0</v>
      </c>
      <c r="AD259" s="81">
        <v>0.0</v>
      </c>
      <c r="AE259" s="81">
        <v>0.0</v>
      </c>
      <c r="AF259" s="81">
        <v>0.0</v>
      </c>
      <c r="AG259" s="81">
        <v>0.0</v>
      </c>
      <c r="AH259" s="81">
        <v>0.0</v>
      </c>
      <c r="AI259" s="82">
        <v>0.4</v>
      </c>
      <c r="AK259" s="53"/>
      <c r="AL259" s="65">
        <v>60.0</v>
      </c>
      <c r="AM259" s="110">
        <v>0.0</v>
      </c>
      <c r="AN259" s="79">
        <v>24.91</v>
      </c>
      <c r="AO259" s="81">
        <v>0.0</v>
      </c>
      <c r="AP259" s="79">
        <v>21.33</v>
      </c>
      <c r="AQ259" s="421">
        <v>42.61</v>
      </c>
      <c r="AR259" s="81">
        <v>0.0</v>
      </c>
      <c r="AS259" s="81">
        <v>0.0</v>
      </c>
      <c r="AT259" s="81">
        <v>0.0</v>
      </c>
      <c r="AU259" s="81">
        <v>0.0</v>
      </c>
      <c r="AV259" s="81">
        <v>0.0</v>
      </c>
      <c r="AW259" s="79">
        <v>1.85</v>
      </c>
      <c r="AX259" s="81">
        <v>0.0</v>
      </c>
      <c r="AY259" s="81">
        <v>0.0</v>
      </c>
      <c r="AZ259" s="79">
        <v>0.27</v>
      </c>
      <c r="BA259" s="82">
        <v>9.03</v>
      </c>
      <c r="BF259" s="53"/>
      <c r="BG259" s="422"/>
      <c r="BH259" s="253" t="s">
        <v>231</v>
      </c>
      <c r="BI259" s="239">
        <v>18.0</v>
      </c>
      <c r="BJ259" s="415">
        <v>4.05</v>
      </c>
      <c r="BL259" s="53"/>
      <c r="BM259" s="422"/>
      <c r="BN259" s="253" t="s">
        <v>231</v>
      </c>
      <c r="BO259" s="239">
        <v>23.0</v>
      </c>
      <c r="BP259" s="416">
        <f t="shared" si="24"/>
        <v>0.0518018018</v>
      </c>
      <c r="BR259" s="53"/>
      <c r="BS259" s="422"/>
      <c r="BT259" s="253" t="s">
        <v>231</v>
      </c>
      <c r="BU259" s="239">
        <v>23.0</v>
      </c>
      <c r="BV259" s="416">
        <f t="shared" si="25"/>
        <v>0.0518018018</v>
      </c>
      <c r="CJ259" s="360" t="str">
        <f t="shared" ref="CJ259:CW259" si="27">CM193&amp;","</f>
        <v>56.14,</v>
      </c>
      <c r="CK259" s="360" t="str">
        <f t="shared" si="27"/>
        <v>9.68,</v>
      </c>
      <c r="CL259" s="360" t="str">
        <f t="shared" si="27"/>
        <v>8.92,</v>
      </c>
      <c r="CM259" s="360" t="str">
        <f t="shared" si="27"/>
        <v>9.19,</v>
      </c>
      <c r="CN259" s="360" t="str">
        <f t="shared" si="27"/>
        <v>11.49,</v>
      </c>
      <c r="CO259" s="360" t="str">
        <f t="shared" si="27"/>
        <v>0,</v>
      </c>
      <c r="CP259" s="360" t="str">
        <f t="shared" si="27"/>
        <v>1.64,</v>
      </c>
      <c r="CQ259" s="360" t="str">
        <f t="shared" si="27"/>
        <v>0,</v>
      </c>
      <c r="CR259" s="360" t="str">
        <f t="shared" si="27"/>
        <v>1.13,</v>
      </c>
      <c r="CS259" s="360" t="str">
        <f t="shared" si="27"/>
        <v>0.03,</v>
      </c>
      <c r="CT259" s="360" t="str">
        <f t="shared" si="27"/>
        <v>0.84,</v>
      </c>
      <c r="CU259" s="360" t="str">
        <f t="shared" si="27"/>
        <v>0,</v>
      </c>
      <c r="CV259" s="360" t="str">
        <f t="shared" si="27"/>
        <v>0,</v>
      </c>
      <c r="CW259" s="360" t="str">
        <f t="shared" si="27"/>
        <v>0.9,</v>
      </c>
      <c r="CX259" s="360">
        <v>0.04</v>
      </c>
    </row>
    <row r="260" ht="12.0" customHeight="1">
      <c r="S260" s="53"/>
      <c r="T260" s="65">
        <v>36.0</v>
      </c>
      <c r="U260" s="391">
        <v>46.97</v>
      </c>
      <c r="V260" s="79">
        <v>22.37</v>
      </c>
      <c r="W260" s="79">
        <v>2.24</v>
      </c>
      <c r="X260" s="81">
        <v>0.0</v>
      </c>
      <c r="Y260" s="79">
        <v>0.12</v>
      </c>
      <c r="Z260" s="79">
        <v>28.14</v>
      </c>
      <c r="AA260" s="81">
        <v>0.0</v>
      </c>
      <c r="AB260" s="79">
        <v>0.02</v>
      </c>
      <c r="AC260" s="81">
        <v>0.0</v>
      </c>
      <c r="AD260" s="81">
        <v>0.0</v>
      </c>
      <c r="AE260" s="81">
        <v>0.0</v>
      </c>
      <c r="AF260" s="81">
        <v>0.0</v>
      </c>
      <c r="AG260" s="81">
        <v>0.0</v>
      </c>
      <c r="AH260" s="81">
        <v>0.0</v>
      </c>
      <c r="AI260" s="82">
        <v>0.14</v>
      </c>
      <c r="AK260" s="53"/>
      <c r="AL260" s="65">
        <v>61.0</v>
      </c>
      <c r="AM260" s="110">
        <v>0.0</v>
      </c>
      <c r="AN260" s="392">
        <v>45.68</v>
      </c>
      <c r="AO260" s="81">
        <v>0.0</v>
      </c>
      <c r="AP260" s="79">
        <v>31.59</v>
      </c>
      <c r="AQ260" s="81">
        <v>0.0</v>
      </c>
      <c r="AR260" s="81">
        <v>0.0</v>
      </c>
      <c r="AS260" s="79">
        <v>5.5</v>
      </c>
      <c r="AT260" s="81">
        <v>0.0</v>
      </c>
      <c r="AU260" s="81">
        <v>0.0</v>
      </c>
      <c r="AV260" s="81">
        <v>0.0</v>
      </c>
      <c r="AW260" s="79">
        <v>0.74</v>
      </c>
      <c r="AX260" s="81">
        <v>0.0</v>
      </c>
      <c r="AY260" s="81">
        <v>0.0</v>
      </c>
      <c r="AZ260" s="79">
        <v>0.61</v>
      </c>
      <c r="BA260" s="82">
        <v>15.88</v>
      </c>
      <c r="BF260" s="53"/>
      <c r="BG260" s="423"/>
      <c r="BH260" s="239" t="s">
        <v>205</v>
      </c>
      <c r="BI260" s="239">
        <v>6.0</v>
      </c>
      <c r="BJ260" s="415">
        <v>1.35</v>
      </c>
      <c r="BL260" s="53"/>
      <c r="BM260" s="423"/>
      <c r="BN260" s="239" t="s">
        <v>205</v>
      </c>
      <c r="BO260" s="239">
        <v>10.0</v>
      </c>
      <c r="BP260" s="416">
        <f t="shared" si="24"/>
        <v>0.02252252252</v>
      </c>
      <c r="BR260" s="53"/>
      <c r="BS260" s="423"/>
      <c r="BT260" s="239" t="s">
        <v>205</v>
      </c>
      <c r="BU260" s="239">
        <v>10.0</v>
      </c>
      <c r="BV260" s="416">
        <f t="shared" si="25"/>
        <v>0.02252252252</v>
      </c>
      <c r="CJ260" s="360" t="str">
        <f t="shared" ref="CJ260:CW260" si="28">CM194&amp;","</f>
        <v>54.98,</v>
      </c>
      <c r="CK260" s="360" t="str">
        <f t="shared" si="28"/>
        <v>7.94,</v>
      </c>
      <c r="CL260" s="360" t="str">
        <f t="shared" si="28"/>
        <v>10.84,</v>
      </c>
      <c r="CM260" s="360" t="str">
        <f t="shared" si="28"/>
        <v>10.5,</v>
      </c>
      <c r="CN260" s="360" t="str">
        <f t="shared" si="28"/>
        <v>7.99,</v>
      </c>
      <c r="CO260" s="360" t="str">
        <f t="shared" si="28"/>
        <v>0.63,</v>
      </c>
      <c r="CP260" s="360" t="str">
        <f t="shared" si="28"/>
        <v>4.65,</v>
      </c>
      <c r="CQ260" s="360" t="str">
        <f t="shared" si="28"/>
        <v>0,</v>
      </c>
      <c r="CR260" s="360" t="str">
        <f t="shared" si="28"/>
        <v>0.24,</v>
      </c>
      <c r="CS260" s="360" t="str">
        <f t="shared" si="28"/>
        <v>0,</v>
      </c>
      <c r="CT260" s="360" t="str">
        <f t="shared" si="28"/>
        <v>0.77,</v>
      </c>
      <c r="CU260" s="360" t="str">
        <f t="shared" si="28"/>
        <v>0,</v>
      </c>
      <c r="CV260" s="360" t="str">
        <f t="shared" si="28"/>
        <v>0,</v>
      </c>
      <c r="CW260" s="360" t="str">
        <f t="shared" si="28"/>
        <v>0.41,</v>
      </c>
      <c r="CX260" s="360">
        <v>1.05</v>
      </c>
      <c r="DH260" s="83">
        <v>1.0</v>
      </c>
      <c r="DJ260" s="318" t="s">
        <v>272</v>
      </c>
      <c r="DK260" s="318" t="s">
        <v>273</v>
      </c>
      <c r="DL260" s="318" t="s">
        <v>274</v>
      </c>
      <c r="DM260" s="318" t="s">
        <v>275</v>
      </c>
      <c r="DN260" s="318" t="s">
        <v>276</v>
      </c>
      <c r="DO260" s="318" t="s">
        <v>276</v>
      </c>
      <c r="DP260" s="318" t="s">
        <v>277</v>
      </c>
      <c r="DQ260" s="361" t="s">
        <v>278</v>
      </c>
      <c r="DR260" s="41"/>
      <c r="DS260" s="41"/>
      <c r="DT260" s="41"/>
      <c r="DU260" s="318" t="s">
        <v>272</v>
      </c>
      <c r="DV260" s="318" t="s">
        <v>274</v>
      </c>
      <c r="DW260" s="318" t="s">
        <v>279</v>
      </c>
      <c r="DX260" s="364">
        <v>1.61</v>
      </c>
      <c r="DY260" s="41"/>
      <c r="DZ260" s="41"/>
      <c r="EA260" s="41"/>
      <c r="EB260" s="318" t="s">
        <v>280</v>
      </c>
      <c r="EC260" s="318" t="s">
        <v>274</v>
      </c>
      <c r="ED260" s="364">
        <v>22.97</v>
      </c>
    </row>
    <row r="261" ht="12.0" customHeight="1">
      <c r="S261" s="53"/>
      <c r="T261" s="65">
        <v>37.0</v>
      </c>
      <c r="U261" s="391">
        <v>37.71</v>
      </c>
      <c r="V261" s="79">
        <v>10.7</v>
      </c>
      <c r="W261" s="79">
        <v>19.45</v>
      </c>
      <c r="X261" s="81">
        <v>0.0</v>
      </c>
      <c r="Y261" s="79">
        <v>0.41</v>
      </c>
      <c r="Z261" s="79">
        <v>31.09</v>
      </c>
      <c r="AA261" s="81">
        <v>0.0</v>
      </c>
      <c r="AB261" s="81">
        <v>0.0</v>
      </c>
      <c r="AC261" s="81">
        <v>0.0</v>
      </c>
      <c r="AD261" s="81">
        <v>0.0</v>
      </c>
      <c r="AE261" s="81">
        <v>0.0</v>
      </c>
      <c r="AF261" s="81">
        <v>0.0</v>
      </c>
      <c r="AG261" s="81">
        <v>0.0</v>
      </c>
      <c r="AH261" s="81">
        <v>0.0</v>
      </c>
      <c r="AI261" s="82">
        <v>0.64</v>
      </c>
      <c r="AK261" s="53"/>
      <c r="AL261" s="65">
        <v>62.0</v>
      </c>
      <c r="AM261" s="90">
        <v>12.0</v>
      </c>
      <c r="AN261" s="79">
        <v>26.94</v>
      </c>
      <c r="AO261" s="79">
        <v>22.75</v>
      </c>
      <c r="AP261" s="397">
        <v>34.22</v>
      </c>
      <c r="AQ261" s="81">
        <v>0.0</v>
      </c>
      <c r="AR261" s="81">
        <v>0.0</v>
      </c>
      <c r="AS261" s="81">
        <v>0.0</v>
      </c>
      <c r="AT261" s="81">
        <v>0.0</v>
      </c>
      <c r="AU261" s="79">
        <v>2.84</v>
      </c>
      <c r="AV261" s="81">
        <v>0.0</v>
      </c>
      <c r="AW261" s="81">
        <v>0.0</v>
      </c>
      <c r="AX261" s="81">
        <v>0.0</v>
      </c>
      <c r="AY261" s="81">
        <v>0.0</v>
      </c>
      <c r="AZ261" s="81">
        <v>0.0</v>
      </c>
      <c r="BA261" s="82">
        <v>1.25</v>
      </c>
      <c r="BF261" s="53"/>
      <c r="BG261" s="424"/>
      <c r="BH261" s="239" t="s">
        <v>206</v>
      </c>
      <c r="BI261" s="239">
        <v>15.0</v>
      </c>
      <c r="BJ261" s="415">
        <v>3.38</v>
      </c>
      <c r="BL261" s="53"/>
      <c r="BM261" s="424"/>
      <c r="BN261" s="239" t="s">
        <v>206</v>
      </c>
      <c r="BO261" s="239">
        <v>12.0</v>
      </c>
      <c r="BP261" s="416">
        <f t="shared" si="24"/>
        <v>0.02702702703</v>
      </c>
      <c r="BR261" s="53"/>
      <c r="BS261" s="424"/>
      <c r="BT261" s="239" t="s">
        <v>206</v>
      </c>
      <c r="BU261" s="239">
        <v>11.0</v>
      </c>
      <c r="BV261" s="416">
        <f t="shared" si="25"/>
        <v>0.02477477477</v>
      </c>
      <c r="CJ261" s="360" t="str">
        <f t="shared" ref="CJ261:CW261" si="29">CM195&amp;","</f>
        <v>56.86,</v>
      </c>
      <c r="CK261" s="360" t="str">
        <f t="shared" si="29"/>
        <v>17.18,</v>
      </c>
      <c r="CL261" s="360" t="str">
        <f t="shared" si="29"/>
        <v>1.31,</v>
      </c>
      <c r="CM261" s="360" t="str">
        <f t="shared" si="29"/>
        <v>14.95,</v>
      </c>
      <c r="CN261" s="360" t="str">
        <f t="shared" si="29"/>
        <v>3.68,</v>
      </c>
      <c r="CO261" s="360" t="str">
        <f t="shared" si="29"/>
        <v>0.12,</v>
      </c>
      <c r="CP261" s="360" t="str">
        <f t="shared" si="29"/>
        <v>2.75,</v>
      </c>
      <c r="CQ261" s="360" t="str">
        <f t="shared" si="29"/>
        <v>0,</v>
      </c>
      <c r="CR261" s="360" t="str">
        <f t="shared" si="29"/>
        <v>0,</v>
      </c>
      <c r="CS261" s="360" t="str">
        <f t="shared" si="29"/>
        <v>0.78,</v>
      </c>
      <c r="CT261" s="360" t="str">
        <f t="shared" si="29"/>
        <v>0.74,</v>
      </c>
      <c r="CU261" s="360" t="str">
        <f t="shared" si="29"/>
        <v>0,</v>
      </c>
      <c r="CV261" s="360" t="str">
        <f t="shared" si="29"/>
        <v>0,</v>
      </c>
      <c r="CW261" s="360" t="str">
        <f t="shared" si="29"/>
        <v>0.01,</v>
      </c>
      <c r="CX261" s="360">
        <v>1.62</v>
      </c>
      <c r="DH261" s="83">
        <v>2.0</v>
      </c>
      <c r="DJ261" s="318" t="s">
        <v>281</v>
      </c>
      <c r="DK261" s="318" t="s">
        <v>282</v>
      </c>
      <c r="DL261" s="318" t="s">
        <v>283</v>
      </c>
      <c r="DM261" s="318" t="s">
        <v>284</v>
      </c>
      <c r="DN261" s="318" t="s">
        <v>276</v>
      </c>
      <c r="DO261" s="318" t="s">
        <v>276</v>
      </c>
      <c r="DP261" s="318" t="s">
        <v>285</v>
      </c>
      <c r="DQ261" s="361" t="s">
        <v>286</v>
      </c>
      <c r="DR261" s="41"/>
      <c r="DS261" s="41"/>
      <c r="DT261" s="41"/>
      <c r="DU261" s="318" t="s">
        <v>281</v>
      </c>
      <c r="DV261" s="318" t="s">
        <v>283</v>
      </c>
      <c r="DW261" s="318" t="s">
        <v>287</v>
      </c>
      <c r="DX261" s="361">
        <v>1.64</v>
      </c>
      <c r="DY261" s="41"/>
      <c r="DZ261" s="41"/>
      <c r="EA261" s="41"/>
      <c r="EB261" s="318" t="s">
        <v>288</v>
      </c>
      <c r="EC261" s="318" t="s">
        <v>283</v>
      </c>
      <c r="ED261" s="364">
        <v>10.62</v>
      </c>
    </row>
    <row r="262" ht="12.0" customHeight="1">
      <c r="S262" s="53"/>
      <c r="T262" s="65">
        <v>38.0</v>
      </c>
      <c r="U262" s="391">
        <v>40.96</v>
      </c>
      <c r="V262" s="79">
        <v>36.53</v>
      </c>
      <c r="W262" s="79">
        <v>0.34</v>
      </c>
      <c r="X262" s="81">
        <v>0.0</v>
      </c>
      <c r="Y262" s="79">
        <v>10.4</v>
      </c>
      <c r="Z262" s="79">
        <v>9.07</v>
      </c>
      <c r="AA262" s="81">
        <v>0.0</v>
      </c>
      <c r="AB262" s="81">
        <v>0.0</v>
      </c>
      <c r="AC262" s="81">
        <v>0.0</v>
      </c>
      <c r="AD262" s="81">
        <v>0.0</v>
      </c>
      <c r="AE262" s="81">
        <v>0.0</v>
      </c>
      <c r="AF262" s="81">
        <v>0.0</v>
      </c>
      <c r="AG262" s="81">
        <v>0.0</v>
      </c>
      <c r="AH262" s="81">
        <v>0.0</v>
      </c>
      <c r="AI262" s="82">
        <v>2.7</v>
      </c>
      <c r="AK262" s="53"/>
      <c r="AL262" s="65">
        <v>63.0</v>
      </c>
      <c r="AM262" s="76">
        <v>30.52</v>
      </c>
      <c r="AN262" s="79">
        <v>12.18</v>
      </c>
      <c r="AO262" s="79">
        <v>15.77</v>
      </c>
      <c r="AP262" s="79">
        <v>13.33</v>
      </c>
      <c r="AQ262" s="79">
        <v>12.45</v>
      </c>
      <c r="AR262" s="81">
        <v>0.0</v>
      </c>
      <c r="AS262" s="81">
        <v>0.0</v>
      </c>
      <c r="AT262" s="81">
        <v>0.0</v>
      </c>
      <c r="AU262" s="79">
        <v>0.64</v>
      </c>
      <c r="AV262" s="81">
        <v>0.0</v>
      </c>
      <c r="AW262" s="79">
        <v>1.33</v>
      </c>
      <c r="AX262" s="81">
        <v>0.0</v>
      </c>
      <c r="AY262" s="81">
        <v>0.0</v>
      </c>
      <c r="AZ262" s="79">
        <v>3.42</v>
      </c>
      <c r="BA262" s="82">
        <v>10.36</v>
      </c>
      <c r="BF262" s="53"/>
      <c r="BG262" s="425"/>
      <c r="BH262" s="253" t="s">
        <v>232</v>
      </c>
      <c r="BI262" s="239">
        <v>2.0</v>
      </c>
      <c r="BJ262" s="415">
        <v>0.45</v>
      </c>
      <c r="BL262" s="53"/>
      <c r="BM262" s="425"/>
      <c r="BN262" s="253" t="s">
        <v>232</v>
      </c>
      <c r="BO262" s="239">
        <v>3.0</v>
      </c>
      <c r="BP262" s="416">
        <f t="shared" si="24"/>
        <v>0.006756756757</v>
      </c>
      <c r="BR262" s="53"/>
      <c r="BS262" s="425"/>
      <c r="BT262" s="253" t="s">
        <v>232</v>
      </c>
      <c r="BU262" s="239">
        <v>4.0</v>
      </c>
      <c r="BV262" s="416">
        <f t="shared" si="25"/>
        <v>0.009009009009</v>
      </c>
      <c r="CJ262" s="360" t="str">
        <f t="shared" ref="CJ262:CW262" si="30">CM196&amp;","</f>
        <v>22.9,</v>
      </c>
      <c r="CK262" s="360" t="str">
        <f t="shared" si="30"/>
        <v>23.81,</v>
      </c>
      <c r="CL262" s="360" t="str">
        <f t="shared" si="30"/>
        <v>14.6,</v>
      </c>
      <c r="CM262" s="360" t="str">
        <f t="shared" si="30"/>
        <v>2.72,</v>
      </c>
      <c r="CN262" s="360" t="str">
        <f t="shared" si="30"/>
        <v>2.15,</v>
      </c>
      <c r="CO262" s="360" t="str">
        <f t="shared" si="30"/>
        <v>3.43,</v>
      </c>
      <c r="CP262" s="360" t="str">
        <f t="shared" si="30"/>
        <v>21.64,</v>
      </c>
      <c r="CQ262" s="360" t="str">
        <f t="shared" si="30"/>
        <v>0,</v>
      </c>
      <c r="CR262" s="360" t="str">
        <f t="shared" si="30"/>
        <v>0.83,</v>
      </c>
      <c r="CS262" s="360" t="str">
        <f t="shared" si="30"/>
        <v>0.17,</v>
      </c>
      <c r="CT262" s="360" t="str">
        <f t="shared" si="30"/>
        <v>3.99,</v>
      </c>
      <c r="CU262" s="360" t="str">
        <f t="shared" si="30"/>
        <v>0,</v>
      </c>
      <c r="CV262" s="360" t="str">
        <f t="shared" si="30"/>
        <v>0,</v>
      </c>
      <c r="CW262" s="360" t="str">
        <f t="shared" si="30"/>
        <v>0.46,</v>
      </c>
      <c r="CX262" s="360">
        <v>3.3</v>
      </c>
      <c r="DH262" s="83">
        <v>3.0</v>
      </c>
      <c r="DJ262" s="318" t="s">
        <v>289</v>
      </c>
      <c r="DK262" s="318" t="s">
        <v>290</v>
      </c>
      <c r="DL262" s="318" t="s">
        <v>291</v>
      </c>
      <c r="DM262" s="318" t="s">
        <v>292</v>
      </c>
      <c r="DN262" s="318" t="s">
        <v>276</v>
      </c>
      <c r="DO262" s="318" t="s">
        <v>276</v>
      </c>
      <c r="DP262" s="318" t="s">
        <v>293</v>
      </c>
      <c r="DQ262" s="361" t="s">
        <v>294</v>
      </c>
      <c r="DR262" s="41"/>
      <c r="DS262" s="41"/>
      <c r="DT262" s="41"/>
      <c r="DU262" s="318" t="s">
        <v>289</v>
      </c>
      <c r="DV262" s="318" t="s">
        <v>291</v>
      </c>
      <c r="DW262" s="318" t="s">
        <v>295</v>
      </c>
      <c r="DX262" s="361">
        <v>4.65</v>
      </c>
      <c r="DY262" s="41"/>
      <c r="DZ262" s="41"/>
      <c r="EA262" s="41"/>
      <c r="EB262" s="318" t="s">
        <v>296</v>
      </c>
      <c r="EC262" s="318" t="s">
        <v>291</v>
      </c>
      <c r="ED262" s="364">
        <v>9.4</v>
      </c>
    </row>
    <row r="263" ht="12.0" customHeight="1">
      <c r="S263" s="53"/>
      <c r="T263" s="65">
        <v>39.0</v>
      </c>
      <c r="U263" s="79">
        <v>29.98</v>
      </c>
      <c r="V263" s="392">
        <v>32.7</v>
      </c>
      <c r="W263" s="79">
        <v>0.59</v>
      </c>
      <c r="X263" s="81">
        <v>0.0</v>
      </c>
      <c r="Y263" s="79">
        <v>18.9</v>
      </c>
      <c r="Z263" s="79">
        <v>15.63</v>
      </c>
      <c r="AA263" s="81">
        <v>0.0</v>
      </c>
      <c r="AB263" s="81">
        <v>0.0</v>
      </c>
      <c r="AC263" s="81">
        <v>0.0</v>
      </c>
      <c r="AD263" s="81">
        <v>0.0</v>
      </c>
      <c r="AE263" s="81">
        <v>0.0</v>
      </c>
      <c r="AF263" s="81">
        <v>0.0</v>
      </c>
      <c r="AG263" s="81">
        <v>0.0</v>
      </c>
      <c r="AH263" s="81">
        <v>0.0</v>
      </c>
      <c r="AI263" s="82">
        <v>2.2</v>
      </c>
      <c r="AK263" s="111"/>
      <c r="AL263" s="393">
        <v>64.0</v>
      </c>
      <c r="AM263" s="112">
        <v>0.0</v>
      </c>
      <c r="AN263" s="117">
        <v>30.66</v>
      </c>
      <c r="AO263" s="117">
        <v>4.19</v>
      </c>
      <c r="AP263" s="426">
        <v>47.33</v>
      </c>
      <c r="AQ263" s="119">
        <v>0.0</v>
      </c>
      <c r="AR263" s="119">
        <v>0.0</v>
      </c>
      <c r="AS263" s="117">
        <v>9.05</v>
      </c>
      <c r="AT263" s="119">
        <v>0.0</v>
      </c>
      <c r="AU263" s="119">
        <v>0.0</v>
      </c>
      <c r="AV263" s="119">
        <v>0.0</v>
      </c>
      <c r="AW263" s="119">
        <v>0.0</v>
      </c>
      <c r="AX263" s="119">
        <v>0.0</v>
      </c>
      <c r="AY263" s="119">
        <v>0.0</v>
      </c>
      <c r="AZ263" s="117">
        <v>2.72</v>
      </c>
      <c r="BA263" s="120">
        <v>6.05</v>
      </c>
      <c r="BF263" s="53"/>
      <c r="BG263" s="427"/>
      <c r="BH263" s="253" t="s">
        <v>233</v>
      </c>
      <c r="BI263" s="239">
        <v>4.0</v>
      </c>
      <c r="BJ263" s="415">
        <v>0.9</v>
      </c>
      <c r="BL263" s="53"/>
      <c r="BM263" s="427"/>
      <c r="BN263" s="253" t="s">
        <v>233</v>
      </c>
      <c r="BO263" s="239">
        <v>4.0</v>
      </c>
      <c r="BP263" s="416">
        <f t="shared" si="24"/>
        <v>0.009009009009</v>
      </c>
      <c r="BR263" s="53"/>
      <c r="BS263" s="427"/>
      <c r="BT263" s="253" t="s">
        <v>233</v>
      </c>
      <c r="BU263" s="239">
        <v>5.0</v>
      </c>
      <c r="BV263" s="416">
        <f t="shared" si="25"/>
        <v>0.01126126126</v>
      </c>
      <c r="CJ263" s="360" t="str">
        <f t="shared" ref="CJ263:CW263" si="31">CM197&amp;","</f>
        <v>27.32,</v>
      </c>
      <c r="CK263" s="360" t="str">
        <f t="shared" si="31"/>
        <v>26.11,</v>
      </c>
      <c r="CL263" s="360" t="str">
        <f t="shared" si="31"/>
        <v>21.01,</v>
      </c>
      <c r="CM263" s="360" t="str">
        <f t="shared" si="31"/>
        <v>12.27,</v>
      </c>
      <c r="CN263" s="360" t="str">
        <f t="shared" si="31"/>
        <v>2.82,</v>
      </c>
      <c r="CO263" s="360" t="str">
        <f t="shared" si="31"/>
        <v>1.1,</v>
      </c>
      <c r="CP263" s="360" t="str">
        <f t="shared" si="31"/>
        <v>3.37,</v>
      </c>
      <c r="CQ263" s="360" t="str">
        <f t="shared" si="31"/>
        <v>0,</v>
      </c>
      <c r="CR263" s="360" t="str">
        <f t="shared" si="31"/>
        <v>4.32,</v>
      </c>
      <c r="CS263" s="360" t="str">
        <f t="shared" si="31"/>
        <v>0,</v>
      </c>
      <c r="CT263" s="360" t="str">
        <f t="shared" si="31"/>
        <v>0.49,</v>
      </c>
      <c r="CU263" s="360" t="str">
        <f t="shared" si="31"/>
        <v>0,</v>
      </c>
      <c r="CV263" s="360" t="str">
        <f t="shared" si="31"/>
        <v>0,</v>
      </c>
      <c r="CW263" s="360" t="str">
        <f t="shared" si="31"/>
        <v>0.11,</v>
      </c>
      <c r="CX263" s="360">
        <v>1.08</v>
      </c>
      <c r="DH263" s="83">
        <v>4.0</v>
      </c>
      <c r="DJ263" s="318" t="s">
        <v>297</v>
      </c>
      <c r="DK263" s="318" t="s">
        <v>298</v>
      </c>
      <c r="DL263" s="318" t="s">
        <v>299</v>
      </c>
      <c r="DM263" s="318" t="s">
        <v>300</v>
      </c>
      <c r="DN263" s="318" t="s">
        <v>276</v>
      </c>
      <c r="DO263" s="318" t="s">
        <v>276</v>
      </c>
      <c r="DP263" s="318" t="s">
        <v>301</v>
      </c>
      <c r="DQ263" s="361" t="s">
        <v>302</v>
      </c>
      <c r="DR263" s="41"/>
      <c r="DS263" s="41"/>
      <c r="DT263" s="41"/>
      <c r="DU263" s="318" t="s">
        <v>297</v>
      </c>
      <c r="DV263" s="318" t="s">
        <v>299</v>
      </c>
      <c r="DW263" s="318" t="s">
        <v>303</v>
      </c>
      <c r="DX263" s="361">
        <v>2.75</v>
      </c>
      <c r="DY263" s="41"/>
      <c r="DZ263" s="41"/>
      <c r="EA263" s="41"/>
      <c r="EB263" s="318" t="s">
        <v>304</v>
      </c>
      <c r="EC263" s="318" t="s">
        <v>299</v>
      </c>
      <c r="ED263" s="364">
        <v>18.810000000000002</v>
      </c>
    </row>
    <row r="264" ht="12.0" customHeight="1">
      <c r="S264" s="53"/>
      <c r="T264" s="65">
        <v>40.0</v>
      </c>
      <c r="U264" s="391">
        <v>38.57</v>
      </c>
      <c r="V264" s="79">
        <v>18.17</v>
      </c>
      <c r="W264" s="79">
        <v>7.16</v>
      </c>
      <c r="X264" s="81">
        <v>0.0</v>
      </c>
      <c r="Y264" s="79">
        <v>18.3</v>
      </c>
      <c r="Z264" s="79">
        <v>17.45</v>
      </c>
      <c r="AA264" s="81">
        <v>0.0</v>
      </c>
      <c r="AB264" s="81">
        <v>0.0</v>
      </c>
      <c r="AC264" s="79">
        <v>0.34</v>
      </c>
      <c r="AD264" s="81">
        <v>0.0</v>
      </c>
      <c r="AE264" s="81">
        <v>0.0</v>
      </c>
      <c r="AF264" s="81">
        <v>0.0</v>
      </c>
      <c r="AG264" s="81">
        <v>0.0</v>
      </c>
      <c r="AH264" s="81">
        <v>0.0</v>
      </c>
      <c r="AI264" s="82">
        <v>0.01</v>
      </c>
      <c r="AM264" s="312">
        <f t="shared" ref="AM264:BA264" si="32">AVERAGE(AM235:AM263)</f>
        <v>19.4462069</v>
      </c>
      <c r="AN264" s="312">
        <f t="shared" si="32"/>
        <v>20.58827586</v>
      </c>
      <c r="AO264" s="312">
        <f t="shared" si="32"/>
        <v>15.95172414</v>
      </c>
      <c r="AP264" s="312">
        <f t="shared" si="32"/>
        <v>12.35758621</v>
      </c>
      <c r="AQ264" s="312">
        <f t="shared" si="32"/>
        <v>8.18</v>
      </c>
      <c r="AR264" s="312">
        <f t="shared" si="32"/>
        <v>0.2548275862</v>
      </c>
      <c r="AS264" s="312">
        <f t="shared" si="32"/>
        <v>3.002413793</v>
      </c>
      <c r="AT264" s="312">
        <f t="shared" si="32"/>
        <v>5.624137931</v>
      </c>
      <c r="AU264" s="312">
        <f t="shared" si="32"/>
        <v>0.834137931</v>
      </c>
      <c r="AV264" s="312">
        <f t="shared" si="32"/>
        <v>2.554482759</v>
      </c>
      <c r="AW264" s="312">
        <f t="shared" si="32"/>
        <v>1.03</v>
      </c>
      <c r="AX264" s="312">
        <f t="shared" si="32"/>
        <v>0.2682758621</v>
      </c>
      <c r="AY264" s="312">
        <f t="shared" si="32"/>
        <v>1.104827586</v>
      </c>
      <c r="AZ264" s="312">
        <f t="shared" si="32"/>
        <v>0.565862069</v>
      </c>
      <c r="BA264" s="312">
        <f t="shared" si="32"/>
        <v>6.039583333</v>
      </c>
      <c r="BB264" s="312">
        <f>SUM(AM264:BA264)</f>
        <v>97.80234195</v>
      </c>
      <c r="BF264" s="53"/>
      <c r="BG264" s="428"/>
      <c r="BH264" s="253" t="s">
        <v>234</v>
      </c>
      <c r="BI264" s="317">
        <v>0.0</v>
      </c>
      <c r="BJ264" s="415">
        <v>0.0</v>
      </c>
      <c r="BL264" s="53"/>
      <c r="BM264" s="428"/>
      <c r="BN264" s="253" t="s">
        <v>234</v>
      </c>
      <c r="BO264" s="317">
        <v>2.0</v>
      </c>
      <c r="BP264" s="416">
        <f t="shared" si="24"/>
        <v>0.004504504505</v>
      </c>
      <c r="BR264" s="53"/>
      <c r="BS264" s="428"/>
      <c r="BT264" s="253" t="s">
        <v>234</v>
      </c>
      <c r="BU264" s="317">
        <v>3.0</v>
      </c>
      <c r="BV264" s="416">
        <f t="shared" si="25"/>
        <v>0.006756756757</v>
      </c>
      <c r="CJ264" s="360" t="str">
        <f t="shared" ref="CJ264:CW264" si="33">CM198&amp;","</f>
        <v>56.06,</v>
      </c>
      <c r="CK264" s="360" t="str">
        <f t="shared" si="33"/>
        <v>10.7,</v>
      </c>
      <c r="CL264" s="360" t="str">
        <f t="shared" si="33"/>
        <v>7.15,</v>
      </c>
      <c r="CM264" s="360" t="str">
        <f t="shared" si="33"/>
        <v>13.2,</v>
      </c>
      <c r="CN264" s="360" t="str">
        <f t="shared" si="33"/>
        <v>6.72,</v>
      </c>
      <c r="CO264" s="360" t="str">
        <f t="shared" si="33"/>
        <v>0,</v>
      </c>
      <c r="CP264" s="360" t="str">
        <f t="shared" si="33"/>
        <v>3.84,</v>
      </c>
      <c r="CQ264" s="360" t="str">
        <f t="shared" si="33"/>
        <v>0,</v>
      </c>
      <c r="CR264" s="360" t="str">
        <f t="shared" si="33"/>
        <v>0,</v>
      </c>
      <c r="CS264" s="360" t="str">
        <f t="shared" si="33"/>
        <v>1.23,</v>
      </c>
      <c r="CT264" s="360" t="str">
        <f t="shared" si="33"/>
        <v>0.44,</v>
      </c>
      <c r="CU264" s="360" t="str">
        <f t="shared" si="33"/>
        <v>0,</v>
      </c>
      <c r="CV264" s="360" t="str">
        <f t="shared" si="33"/>
        <v>0,</v>
      </c>
      <c r="CW264" s="360" t="str">
        <f t="shared" si="33"/>
        <v>0.12,</v>
      </c>
      <c r="CX264" s="360">
        <v>0.54</v>
      </c>
      <c r="DH264" s="83">
        <v>5.0</v>
      </c>
      <c r="DJ264" s="318" t="s">
        <v>305</v>
      </c>
      <c r="DK264" s="318" t="s">
        <v>306</v>
      </c>
      <c r="DL264" s="318" t="s">
        <v>307</v>
      </c>
      <c r="DM264" s="318" t="s">
        <v>308</v>
      </c>
      <c r="DN264" s="318" t="s">
        <v>276</v>
      </c>
      <c r="DO264" s="318" t="s">
        <v>276</v>
      </c>
      <c r="DP264" s="318" t="s">
        <v>309</v>
      </c>
      <c r="DQ264" s="361" t="s">
        <v>310</v>
      </c>
      <c r="DR264" s="41"/>
      <c r="DS264" s="41"/>
      <c r="DT264" s="41"/>
      <c r="DU264" s="318" t="s">
        <v>305</v>
      </c>
      <c r="DV264" s="318" t="s">
        <v>307</v>
      </c>
      <c r="DW264" s="318" t="s">
        <v>311</v>
      </c>
      <c r="DX264" s="361">
        <v>21.64</v>
      </c>
      <c r="DY264" s="41"/>
      <c r="DZ264" s="41"/>
      <c r="EA264" s="41"/>
      <c r="EB264" s="318" t="s">
        <v>312</v>
      </c>
      <c r="EC264" s="318" t="s">
        <v>307</v>
      </c>
      <c r="ED264" s="364">
        <v>27.57</v>
      </c>
    </row>
    <row r="265" ht="12.0" customHeight="1">
      <c r="S265" s="53"/>
      <c r="T265" s="65">
        <v>41.0</v>
      </c>
      <c r="U265" s="391">
        <v>37.91</v>
      </c>
      <c r="V265" s="81">
        <v>0.0</v>
      </c>
      <c r="W265" s="81">
        <v>0.0</v>
      </c>
      <c r="X265" s="81">
        <v>0.0</v>
      </c>
      <c r="Y265" s="79">
        <v>26.44</v>
      </c>
      <c r="Z265" s="79">
        <v>2.49</v>
      </c>
      <c r="AA265" s="81">
        <v>0.0</v>
      </c>
      <c r="AB265" s="81">
        <v>0.0</v>
      </c>
      <c r="AC265" s="79">
        <v>0.49</v>
      </c>
      <c r="AD265" s="81">
        <v>0.0</v>
      </c>
      <c r="AE265" s="79">
        <v>1.89</v>
      </c>
      <c r="AF265" s="79">
        <v>23.2</v>
      </c>
      <c r="AG265" s="81">
        <v>0.0</v>
      </c>
      <c r="AH265" s="81">
        <v>0.0</v>
      </c>
      <c r="AI265" s="82">
        <v>7.58</v>
      </c>
      <c r="BF265" s="53"/>
      <c r="BG265" s="424"/>
      <c r="BH265" s="239" t="s">
        <v>207</v>
      </c>
      <c r="BI265" s="239">
        <v>1.0</v>
      </c>
      <c r="BJ265" s="415">
        <v>0.23</v>
      </c>
      <c r="BL265" s="53"/>
      <c r="BM265" s="424"/>
      <c r="BN265" s="239" t="s">
        <v>207</v>
      </c>
      <c r="BO265" s="239">
        <v>2.0</v>
      </c>
      <c r="BP265" s="416">
        <f t="shared" si="24"/>
        <v>0.004504504505</v>
      </c>
      <c r="BR265" s="53"/>
      <c r="BS265" s="424"/>
      <c r="BT265" s="239" t="s">
        <v>207</v>
      </c>
      <c r="BU265" s="239">
        <v>3.0</v>
      </c>
      <c r="BV265" s="416">
        <f t="shared" si="25"/>
        <v>0.006756756757</v>
      </c>
      <c r="CJ265" s="360" t="str">
        <f t="shared" ref="CJ265:CW265" si="34">CM199&amp;","</f>
        <v>55.18,</v>
      </c>
      <c r="CK265" s="360" t="str">
        <f t="shared" si="34"/>
        <v>9.27,</v>
      </c>
      <c r="CL265" s="360" t="str">
        <f t="shared" si="34"/>
        <v>6.05,</v>
      </c>
      <c r="CM265" s="360" t="str">
        <f t="shared" si="34"/>
        <v>13.89,</v>
      </c>
      <c r="CN265" s="360" t="str">
        <f t="shared" si="34"/>
        <v>10.72,</v>
      </c>
      <c r="CO265" s="360" t="str">
        <f t="shared" si="34"/>
        <v>0.24,</v>
      </c>
      <c r="CP265" s="360" t="str">
        <f t="shared" si="34"/>
        <v>2.99,</v>
      </c>
      <c r="CQ265" s="360" t="str">
        <f t="shared" si="34"/>
        <v>0,</v>
      </c>
      <c r="CR265" s="360" t="str">
        <f t="shared" si="34"/>
        <v>0.47,</v>
      </c>
      <c r="CS265" s="360" t="str">
        <f t="shared" si="34"/>
        <v>0.67,</v>
      </c>
      <c r="CT265" s="360" t="str">
        <f t="shared" si="34"/>
        <v>0.52,</v>
      </c>
      <c r="CU265" s="360" t="str">
        <f t="shared" si="34"/>
        <v>0,</v>
      </c>
      <c r="CV265" s="360" t="str">
        <f t="shared" si="34"/>
        <v>0,</v>
      </c>
      <c r="CW265" s="360" t="str">
        <f t="shared" si="34"/>
        <v>0,</v>
      </c>
      <c r="CX265" s="360">
        <v>0.0</v>
      </c>
      <c r="DH265" s="83">
        <v>6.0</v>
      </c>
      <c r="DJ265" s="318" t="s">
        <v>313</v>
      </c>
      <c r="DK265" s="318" t="s">
        <v>314</v>
      </c>
      <c r="DL265" s="318" t="s">
        <v>315</v>
      </c>
      <c r="DM265" s="318" t="s">
        <v>316</v>
      </c>
      <c r="DN265" s="318" t="s">
        <v>276</v>
      </c>
      <c r="DO265" s="318" t="s">
        <v>276</v>
      </c>
      <c r="DP265" s="318" t="s">
        <v>317</v>
      </c>
      <c r="DQ265" s="361" t="s">
        <v>318</v>
      </c>
      <c r="DR265" s="41"/>
      <c r="DS265" s="41"/>
      <c r="DT265" s="41"/>
      <c r="DU265" s="318" t="s">
        <v>313</v>
      </c>
      <c r="DV265" s="318" t="s">
        <v>315</v>
      </c>
      <c r="DW265" s="318" t="s">
        <v>319</v>
      </c>
      <c r="DX265" s="361">
        <v>3.37</v>
      </c>
      <c r="DY265" s="41"/>
      <c r="DZ265" s="41"/>
      <c r="EA265" s="41"/>
      <c r="EB265" s="318" t="s">
        <v>320</v>
      </c>
      <c r="EC265" s="318" t="s">
        <v>315</v>
      </c>
      <c r="ED265" s="364">
        <v>27.299999999999997</v>
      </c>
    </row>
    <row r="266" ht="12.0" customHeight="1">
      <c r="S266" s="53"/>
      <c r="T266" s="65">
        <v>42.0</v>
      </c>
      <c r="U266" s="79">
        <v>20.58</v>
      </c>
      <c r="V266" s="81">
        <v>0.0</v>
      </c>
      <c r="W266" s="79">
        <v>16.26</v>
      </c>
      <c r="X266" s="79">
        <v>19.51</v>
      </c>
      <c r="Y266" s="421">
        <v>27.0</v>
      </c>
      <c r="Z266" s="79">
        <v>1.78</v>
      </c>
      <c r="AA266" s="79">
        <v>1.65</v>
      </c>
      <c r="AB266" s="81">
        <v>0.0</v>
      </c>
      <c r="AC266" s="79">
        <v>0.55</v>
      </c>
      <c r="AD266" s="81">
        <v>0.0</v>
      </c>
      <c r="AE266" s="81">
        <v>0.0</v>
      </c>
      <c r="AF266" s="79">
        <v>6.82</v>
      </c>
      <c r="AG266" s="79">
        <v>2.19</v>
      </c>
      <c r="AH266" s="81">
        <v>0.0</v>
      </c>
      <c r="AI266" s="82">
        <v>3.66</v>
      </c>
      <c r="BF266" s="53"/>
      <c r="BG266" s="429"/>
      <c r="BH266" s="253" t="s">
        <v>236</v>
      </c>
      <c r="BI266" s="239">
        <v>2.0</v>
      </c>
      <c r="BJ266" s="415">
        <v>0.45</v>
      </c>
      <c r="BL266" s="53"/>
      <c r="BM266" s="429"/>
      <c r="BN266" s="253" t="s">
        <v>236</v>
      </c>
      <c r="BO266" s="239">
        <v>1.0</v>
      </c>
      <c r="BP266" s="416">
        <f t="shared" si="24"/>
        <v>0.002252252252</v>
      </c>
      <c r="BR266" s="53"/>
      <c r="BS266" s="429"/>
      <c r="BT266" s="253" t="s">
        <v>236</v>
      </c>
      <c r="BU266" s="239">
        <v>2.0</v>
      </c>
      <c r="BV266" s="416">
        <f t="shared" si="25"/>
        <v>0.004504504505</v>
      </c>
      <c r="CJ266" s="360" t="str">
        <f t="shared" ref="CJ266:CW266" si="35">CM200&amp;","</f>
        <v>46.91,</v>
      </c>
      <c r="CK266" s="360" t="str">
        <f t="shared" si="35"/>
        <v>12.95,</v>
      </c>
      <c r="CL266" s="360" t="str">
        <f t="shared" si="35"/>
        <v>5,</v>
      </c>
      <c r="CM266" s="360" t="str">
        <f t="shared" si="35"/>
        <v>13.27,</v>
      </c>
      <c r="CN266" s="360" t="str">
        <f t="shared" si="35"/>
        <v>18.36,</v>
      </c>
      <c r="CO266" s="360" t="str">
        <f t="shared" si="35"/>
        <v>0.16,</v>
      </c>
      <c r="CP266" s="360" t="str">
        <f t="shared" si="35"/>
        <v>1.33,</v>
      </c>
      <c r="CQ266" s="360" t="str">
        <f t="shared" si="35"/>
        <v>0,</v>
      </c>
      <c r="CR266" s="360" t="str">
        <f t="shared" si="35"/>
        <v>0.79,</v>
      </c>
      <c r="CS266" s="360" t="str">
        <f t="shared" si="35"/>
        <v>0,</v>
      </c>
      <c r="CT266" s="360" t="str">
        <f t="shared" si="35"/>
        <v>0.45,</v>
      </c>
      <c r="CU266" s="360" t="str">
        <f t="shared" si="35"/>
        <v>0,</v>
      </c>
      <c r="CV266" s="360" t="str">
        <f t="shared" si="35"/>
        <v>0,</v>
      </c>
      <c r="CW266" s="360" t="str">
        <f t="shared" si="35"/>
        <v>0,</v>
      </c>
      <c r="CX266" s="360">
        <v>0.78</v>
      </c>
      <c r="DH266" s="83">
        <v>7.0</v>
      </c>
      <c r="DJ266" s="318" t="s">
        <v>321</v>
      </c>
      <c r="DK266" s="318" t="s">
        <v>322</v>
      </c>
      <c r="DL266" s="318" t="s">
        <v>323</v>
      </c>
      <c r="DM266" s="318" t="s">
        <v>324</v>
      </c>
      <c r="DN266" s="318" t="s">
        <v>276</v>
      </c>
      <c r="DO266" s="318" t="s">
        <v>276</v>
      </c>
      <c r="DP266" s="318" t="s">
        <v>325</v>
      </c>
      <c r="DQ266" s="361" t="s">
        <v>326</v>
      </c>
      <c r="DR266" s="41"/>
      <c r="DS266" s="41"/>
      <c r="DT266" s="41"/>
      <c r="DU266" s="318" t="s">
        <v>321</v>
      </c>
      <c r="DV266" s="318" t="s">
        <v>323</v>
      </c>
      <c r="DW266" s="318" t="s">
        <v>327</v>
      </c>
      <c r="DX266" s="361">
        <v>3.84</v>
      </c>
      <c r="DY266" s="41"/>
      <c r="DZ266" s="41"/>
      <c r="EA266" s="41"/>
      <c r="EB266" s="318" t="s">
        <v>328</v>
      </c>
      <c r="EC266" s="318" t="s">
        <v>323</v>
      </c>
      <c r="ED266" s="364">
        <v>11.36</v>
      </c>
    </row>
    <row r="267" ht="12.0" customHeight="1">
      <c r="S267" s="53"/>
      <c r="T267" s="65">
        <v>43.0</v>
      </c>
      <c r="U267" s="79">
        <v>21.9</v>
      </c>
      <c r="V267" s="81">
        <v>0.0</v>
      </c>
      <c r="W267" s="400">
        <v>28.33</v>
      </c>
      <c r="X267" s="79">
        <v>9.78</v>
      </c>
      <c r="Y267" s="79">
        <v>17.3</v>
      </c>
      <c r="Z267" s="79">
        <v>1.34</v>
      </c>
      <c r="AA267" s="79">
        <v>12.2</v>
      </c>
      <c r="AB267" s="81">
        <v>0.0</v>
      </c>
      <c r="AC267" s="79">
        <v>0.08</v>
      </c>
      <c r="AD267" s="81">
        <v>0.0</v>
      </c>
      <c r="AE267" s="81">
        <v>0.0</v>
      </c>
      <c r="AF267" s="79">
        <v>3.0</v>
      </c>
      <c r="AG267" s="81">
        <v>0.0</v>
      </c>
      <c r="AH267" s="81">
        <v>0.0</v>
      </c>
      <c r="AI267" s="82">
        <v>6.07</v>
      </c>
      <c r="BF267" s="53"/>
      <c r="BG267" s="430"/>
      <c r="BH267" s="247" t="s">
        <v>208</v>
      </c>
      <c r="BI267" s="247">
        <v>1.0</v>
      </c>
      <c r="BJ267" s="431">
        <v>0.23</v>
      </c>
      <c r="BL267" s="53"/>
      <c r="BM267" s="430"/>
      <c r="BN267" s="247" t="s">
        <v>208</v>
      </c>
      <c r="BO267" s="247">
        <v>1.0</v>
      </c>
      <c r="BP267" s="416">
        <f t="shared" si="24"/>
        <v>0.002252252252</v>
      </c>
      <c r="BR267" s="53"/>
      <c r="BS267" s="430"/>
      <c r="BT267" s="247" t="s">
        <v>208</v>
      </c>
      <c r="BU267" s="247">
        <v>1.0</v>
      </c>
      <c r="BV267" s="416">
        <f t="shared" si="25"/>
        <v>0.002252252252</v>
      </c>
      <c r="CJ267" s="360" t="str">
        <f t="shared" ref="CJ267:CW267" si="36">CM201&amp;","</f>
        <v>40.59,</v>
      </c>
      <c r="CK267" s="360" t="str">
        <f t="shared" si="36"/>
        <v>15.53,</v>
      </c>
      <c r="CL267" s="360" t="str">
        <f t="shared" si="36"/>
        <v>3.26,</v>
      </c>
      <c r="CM267" s="360" t="str">
        <f t="shared" si="36"/>
        <v>16.34,</v>
      </c>
      <c r="CN267" s="360" t="str">
        <f t="shared" si="36"/>
        <v>16.85,</v>
      </c>
      <c r="CO267" s="360" t="str">
        <f t="shared" si="36"/>
        <v>0.47,</v>
      </c>
      <c r="CP267" s="360" t="str">
        <f t="shared" si="36"/>
        <v>5.47,</v>
      </c>
      <c r="CQ267" s="360" t="str">
        <f t="shared" si="36"/>
        <v>0,</v>
      </c>
      <c r="CR267" s="360" t="str">
        <f t="shared" si="36"/>
        <v>0,</v>
      </c>
      <c r="CS267" s="360" t="str">
        <f t="shared" si="36"/>
        <v>0.03,</v>
      </c>
      <c r="CT267" s="360" t="str">
        <f t="shared" si="36"/>
        <v>0.95,</v>
      </c>
      <c r="CU267" s="360" t="str">
        <f t="shared" si="36"/>
        <v>0,</v>
      </c>
      <c r="CV267" s="360" t="str">
        <f t="shared" si="36"/>
        <v>0,</v>
      </c>
      <c r="CW267" s="360" t="str">
        <f t="shared" si="36"/>
        <v>0.11,</v>
      </c>
      <c r="CX267" s="360">
        <v>0.4</v>
      </c>
      <c r="DH267" s="83">
        <v>8.0</v>
      </c>
      <c r="DJ267" s="318" t="s">
        <v>329</v>
      </c>
      <c r="DK267" s="318" t="s">
        <v>330</v>
      </c>
      <c r="DL267" s="318" t="s">
        <v>331</v>
      </c>
      <c r="DM267" s="318" t="s">
        <v>332</v>
      </c>
      <c r="DN267" s="318" t="s">
        <v>276</v>
      </c>
      <c r="DO267" s="318" t="s">
        <v>276</v>
      </c>
      <c r="DP267" s="318" t="s">
        <v>276</v>
      </c>
      <c r="DQ267" s="361" t="s">
        <v>276</v>
      </c>
      <c r="DR267" s="41"/>
      <c r="DS267" s="41"/>
      <c r="DT267" s="41"/>
      <c r="DU267" s="318" t="s">
        <v>329</v>
      </c>
      <c r="DV267" s="318" t="s">
        <v>331</v>
      </c>
      <c r="DW267" s="318" t="s">
        <v>330</v>
      </c>
      <c r="DX267" s="361">
        <v>2.99</v>
      </c>
      <c r="DY267" s="41"/>
      <c r="DZ267" s="41"/>
      <c r="EA267" s="41"/>
      <c r="EB267" s="318" t="s">
        <v>333</v>
      </c>
      <c r="EC267" s="318" t="s">
        <v>331</v>
      </c>
      <c r="ED267" s="364">
        <v>9.27</v>
      </c>
    </row>
    <row r="268" ht="12.0" customHeight="1">
      <c r="S268" s="53"/>
      <c r="T268" s="65">
        <v>44.0</v>
      </c>
      <c r="U268" s="79">
        <v>14.1</v>
      </c>
      <c r="V268" s="81">
        <v>0.0</v>
      </c>
      <c r="W268" s="400">
        <v>44.91</v>
      </c>
      <c r="X268" s="79">
        <v>0.34</v>
      </c>
      <c r="Y268" s="79">
        <v>14.11</v>
      </c>
      <c r="Z268" s="81">
        <v>0.0</v>
      </c>
      <c r="AA268" s="79">
        <v>14.7</v>
      </c>
      <c r="AB268" s="81">
        <v>0.0</v>
      </c>
      <c r="AC268" s="79">
        <v>0.03</v>
      </c>
      <c r="AD268" s="81">
        <v>0.0</v>
      </c>
      <c r="AE268" s="81">
        <v>0.0</v>
      </c>
      <c r="AF268" s="79">
        <v>6.23</v>
      </c>
      <c r="AG268" s="79">
        <v>2.11</v>
      </c>
      <c r="AH268" s="81">
        <v>0.0</v>
      </c>
      <c r="AI268" s="82">
        <v>3.47</v>
      </c>
      <c r="BF268" s="111"/>
      <c r="BG268" s="432"/>
      <c r="BH268" s="330" t="s">
        <v>210</v>
      </c>
      <c r="BI268" s="333">
        <v>6.0</v>
      </c>
      <c r="BJ268" s="433">
        <v>1.37</v>
      </c>
      <c r="BL268" s="111"/>
      <c r="BM268" s="432"/>
      <c r="BN268" s="330" t="s">
        <v>210</v>
      </c>
      <c r="BO268" s="333">
        <v>13.0</v>
      </c>
      <c r="BP268" s="434">
        <f t="shared" si="24"/>
        <v>0.02927927928</v>
      </c>
      <c r="BR268" s="111"/>
      <c r="BS268" s="432"/>
      <c r="BT268" s="330" t="s">
        <v>210</v>
      </c>
      <c r="BU268" s="333">
        <v>13.0</v>
      </c>
      <c r="BV268" s="434">
        <f t="shared" si="25"/>
        <v>0.02927927928</v>
      </c>
      <c r="CJ268" s="360" t="str">
        <f t="shared" ref="CJ268:CW268" si="37">CM202&amp;","</f>
        <v>34.79,</v>
      </c>
      <c r="CK268" s="360" t="str">
        <f t="shared" si="37"/>
        <v>10.2,</v>
      </c>
      <c r="CL268" s="360" t="str">
        <f t="shared" si="37"/>
        <v>22.8,</v>
      </c>
      <c r="CM268" s="360" t="str">
        <f t="shared" si="37"/>
        <v>10.21,</v>
      </c>
      <c r="CN268" s="360" t="str">
        <f t="shared" si="37"/>
        <v>17.69,</v>
      </c>
      <c r="CO268" s="360" t="str">
        <f t="shared" si="37"/>
        <v>0.48,</v>
      </c>
      <c r="CP268" s="360" t="str">
        <f t="shared" si="37"/>
        <v>1.08,</v>
      </c>
      <c r="CQ268" s="360" t="str">
        <f t="shared" si="37"/>
        <v>0,</v>
      </c>
      <c r="CR268" s="360" t="str">
        <f t="shared" si="37"/>
        <v>0.72,</v>
      </c>
      <c r="CS268" s="360" t="str">
        <f t="shared" si="37"/>
        <v>0.66,</v>
      </c>
      <c r="CT268" s="360" t="str">
        <f t="shared" si="37"/>
        <v>0.84,</v>
      </c>
      <c r="CU268" s="360" t="str">
        <f t="shared" si="37"/>
        <v>0,</v>
      </c>
      <c r="CV268" s="360" t="str">
        <f t="shared" si="37"/>
        <v>0,</v>
      </c>
      <c r="CW268" s="360" t="str">
        <f t="shared" si="37"/>
        <v>0.3,</v>
      </c>
      <c r="CX268" s="360">
        <v>0.23</v>
      </c>
      <c r="DH268" s="83">
        <v>9.0</v>
      </c>
      <c r="DJ268" s="318" t="s">
        <v>334</v>
      </c>
      <c r="DK268" s="318" t="s">
        <v>335</v>
      </c>
      <c r="DL268" s="318" t="s">
        <v>336</v>
      </c>
      <c r="DM268" s="318" t="s">
        <v>337</v>
      </c>
      <c r="DN268" s="318" t="s">
        <v>276</v>
      </c>
      <c r="DO268" s="318" t="s">
        <v>276</v>
      </c>
      <c r="DP268" s="318" t="s">
        <v>276</v>
      </c>
      <c r="DQ268" s="361" t="s">
        <v>338</v>
      </c>
      <c r="DR268" s="41"/>
      <c r="DS268" s="41"/>
      <c r="DT268" s="41"/>
      <c r="DU268" s="318" t="s">
        <v>334</v>
      </c>
      <c r="DV268" s="318" t="s">
        <v>336</v>
      </c>
      <c r="DW268" s="318" t="s">
        <v>339</v>
      </c>
      <c r="DX268" s="361">
        <v>1.33</v>
      </c>
      <c r="DY268" s="41"/>
      <c r="DZ268" s="41"/>
      <c r="EA268" s="41"/>
      <c r="EB268" s="318" t="s">
        <v>340</v>
      </c>
      <c r="EC268" s="318" t="s">
        <v>336</v>
      </c>
      <c r="ED268" s="364">
        <v>13.729999999999999</v>
      </c>
    </row>
    <row r="269" ht="12.0" customHeight="1">
      <c r="S269" s="111"/>
      <c r="T269" s="393">
        <v>45.0</v>
      </c>
      <c r="U269" s="117">
        <v>3.96</v>
      </c>
      <c r="V269" s="119">
        <v>0.0</v>
      </c>
      <c r="W269" s="435">
        <v>50.84</v>
      </c>
      <c r="X269" s="117">
        <v>0.11</v>
      </c>
      <c r="Y269" s="117">
        <v>7.53</v>
      </c>
      <c r="Z269" s="117">
        <v>0.6</v>
      </c>
      <c r="AA269" s="117">
        <v>17.6</v>
      </c>
      <c r="AB269" s="119">
        <v>0.0</v>
      </c>
      <c r="AC269" s="119">
        <v>0.0</v>
      </c>
      <c r="AD269" s="119">
        <v>0.0</v>
      </c>
      <c r="AE269" s="117">
        <v>0.54</v>
      </c>
      <c r="AF269" s="117">
        <v>7.06</v>
      </c>
      <c r="AG269" s="117">
        <v>4.93</v>
      </c>
      <c r="AH269" s="119">
        <v>0.0</v>
      </c>
      <c r="AI269" s="120">
        <v>6.83</v>
      </c>
      <c r="CL269" s="360" t="str">
        <f t="shared" ref="CL269:CY269" si="38">CM203&amp;","</f>
        <v>34.64,</v>
      </c>
      <c r="CM269" s="360" t="str">
        <f t="shared" si="38"/>
        <v>8.91,</v>
      </c>
      <c r="CN269" s="360" t="str">
        <f t="shared" si="38"/>
        <v>12.49,</v>
      </c>
      <c r="CO269" s="360" t="str">
        <f t="shared" si="38"/>
        <v>19.57,</v>
      </c>
      <c r="CP269" s="360" t="str">
        <f t="shared" si="38"/>
        <v>17.98,</v>
      </c>
      <c r="CQ269" s="360" t="str">
        <f t="shared" si="38"/>
        <v>1.28,</v>
      </c>
      <c r="CR269" s="360" t="str">
        <f t="shared" si="38"/>
        <v>1.29,</v>
      </c>
      <c r="CS269" s="360" t="str">
        <f t="shared" si="38"/>
        <v>0,</v>
      </c>
      <c r="CT269" s="360" t="str">
        <f t="shared" si="38"/>
        <v>1.41,</v>
      </c>
      <c r="CU269" s="360" t="str">
        <f t="shared" si="38"/>
        <v>0,</v>
      </c>
      <c r="CV269" s="360" t="str">
        <f t="shared" si="38"/>
        <v>0.89,</v>
      </c>
      <c r="CW269" s="360" t="str">
        <f t="shared" si="38"/>
        <v>0,</v>
      </c>
      <c r="CX269" s="360" t="str">
        <f t="shared" si="38"/>
        <v>0,</v>
      </c>
      <c r="CY269" s="360" t="str">
        <f t="shared" si="38"/>
        <v>0.53,</v>
      </c>
      <c r="CZ269" s="360">
        <v>1.01</v>
      </c>
      <c r="DJ269" s="83">
        <v>10.0</v>
      </c>
      <c r="DL269" s="318" t="s">
        <v>341</v>
      </c>
      <c r="DM269" s="318" t="s">
        <v>342</v>
      </c>
      <c r="DN269" s="318" t="s">
        <v>343</v>
      </c>
      <c r="DO269" s="318" t="s">
        <v>344</v>
      </c>
      <c r="DP269" s="318" t="s">
        <v>276</v>
      </c>
      <c r="DQ269" s="318" t="s">
        <v>276</v>
      </c>
      <c r="DR269" s="318" t="s">
        <v>317</v>
      </c>
      <c r="DS269" s="361" t="s">
        <v>345</v>
      </c>
      <c r="DT269" s="41"/>
      <c r="DU269" s="41"/>
      <c r="DV269" s="41"/>
      <c r="DW269" s="318" t="s">
        <v>341</v>
      </c>
      <c r="DX269" s="318" t="s">
        <v>343</v>
      </c>
      <c r="DY269" s="318" t="s">
        <v>346</v>
      </c>
      <c r="DZ269" s="361">
        <v>5.47</v>
      </c>
      <c r="EA269" s="41"/>
      <c r="EB269" s="41"/>
      <c r="EC269" s="41"/>
      <c r="ED269" s="318" t="s">
        <v>347</v>
      </c>
      <c r="EE269" s="318" t="s">
        <v>343</v>
      </c>
      <c r="EF269" s="364">
        <v>16.04</v>
      </c>
    </row>
    <row r="270" ht="12.0" customHeight="1">
      <c r="U270" s="312">
        <f t="shared" ref="U270:AI270" si="39">AVERAGE(U235:U269)</f>
        <v>37.50942857</v>
      </c>
      <c r="V270" s="312">
        <f t="shared" si="39"/>
        <v>12.608</v>
      </c>
      <c r="W270" s="312">
        <f t="shared" si="39"/>
        <v>10.73657143</v>
      </c>
      <c r="X270" s="312">
        <f t="shared" si="39"/>
        <v>9.419714286</v>
      </c>
      <c r="Y270" s="312">
        <f t="shared" si="39"/>
        <v>11.46314286</v>
      </c>
      <c r="Z270" s="312">
        <f t="shared" si="39"/>
        <v>9.605714286</v>
      </c>
      <c r="AA270" s="312">
        <f t="shared" si="39"/>
        <v>2.714285714</v>
      </c>
      <c r="AB270" s="312">
        <f t="shared" si="39"/>
        <v>0.0005714285714</v>
      </c>
      <c r="AC270" s="312">
        <f t="shared" si="39"/>
        <v>1.317428571</v>
      </c>
      <c r="AD270" s="312">
        <f t="shared" si="39"/>
        <v>0.3322857143</v>
      </c>
      <c r="AE270" s="312">
        <f t="shared" si="39"/>
        <v>0.6157142857</v>
      </c>
      <c r="AF270" s="312">
        <f t="shared" si="39"/>
        <v>1.323142857</v>
      </c>
      <c r="AG270" s="312">
        <f t="shared" si="39"/>
        <v>0.2637142857</v>
      </c>
      <c r="AH270" s="312">
        <f t="shared" si="39"/>
        <v>0.3374285714</v>
      </c>
      <c r="AI270" s="312">
        <f t="shared" si="39"/>
        <v>1.754</v>
      </c>
      <c r="AJ270" s="312">
        <f>SUM(U270:AI270)</f>
        <v>100.0011429</v>
      </c>
      <c r="CL270" s="360" t="str">
        <f t="shared" ref="CL270:CY270" si="40">CM204&amp;","</f>
        <v>28.01,</v>
      </c>
      <c r="CM270" s="360" t="str">
        <f t="shared" si="40"/>
        <v>26.96,</v>
      </c>
      <c r="CN270" s="360" t="str">
        <f t="shared" si="40"/>
        <v>0,</v>
      </c>
      <c r="CO270" s="360" t="str">
        <f t="shared" si="40"/>
        <v>0,</v>
      </c>
      <c r="CP270" s="360" t="str">
        <f t="shared" si="40"/>
        <v>8.65,</v>
      </c>
      <c r="CQ270" s="360" t="str">
        <f t="shared" si="40"/>
        <v>19.59,</v>
      </c>
      <c r="CR270" s="360" t="str">
        <f t="shared" si="40"/>
        <v>0,</v>
      </c>
      <c r="CS270" s="360" t="str">
        <f t="shared" si="40"/>
        <v>0,</v>
      </c>
      <c r="CT270" s="360" t="str">
        <f t="shared" si="40"/>
        <v>6.3,</v>
      </c>
      <c r="CU270" s="360" t="str">
        <f t="shared" si="40"/>
        <v>0,</v>
      </c>
      <c r="CV270" s="360" t="str">
        <f t="shared" si="40"/>
        <v>5.6,</v>
      </c>
      <c r="CW270" s="360" t="str">
        <f t="shared" si="40"/>
        <v>0,</v>
      </c>
      <c r="CX270" s="360" t="str">
        <f t="shared" si="40"/>
        <v>0,</v>
      </c>
      <c r="CY270" s="360" t="str">
        <f t="shared" si="40"/>
        <v>2.15,</v>
      </c>
      <c r="CZ270" s="360">
        <v>2.74</v>
      </c>
      <c r="DJ270" s="83">
        <v>11.0</v>
      </c>
      <c r="DL270" s="318" t="s">
        <v>348</v>
      </c>
      <c r="DM270" s="318" t="s">
        <v>349</v>
      </c>
      <c r="DN270" s="318" t="s">
        <v>350</v>
      </c>
      <c r="DO270" s="318" t="s">
        <v>318</v>
      </c>
      <c r="DP270" s="318" t="s">
        <v>276</v>
      </c>
      <c r="DQ270" s="318" t="s">
        <v>276</v>
      </c>
      <c r="DR270" s="318" t="s">
        <v>351</v>
      </c>
      <c r="DS270" s="361" t="s">
        <v>352</v>
      </c>
      <c r="DT270" s="41"/>
      <c r="DU270" s="41"/>
      <c r="DV270" s="41"/>
      <c r="DW270" s="318" t="s">
        <v>348</v>
      </c>
      <c r="DX270" s="318" t="s">
        <v>350</v>
      </c>
      <c r="DY270" s="318" t="s">
        <v>353</v>
      </c>
      <c r="DZ270" s="361">
        <v>1.08</v>
      </c>
      <c r="EA270" s="41"/>
      <c r="EB270" s="41"/>
      <c r="EC270" s="41"/>
      <c r="ED270" s="318" t="s">
        <v>354</v>
      </c>
      <c r="EE270" s="318" t="s">
        <v>350</v>
      </c>
      <c r="EF270" s="364">
        <v>10.73</v>
      </c>
    </row>
    <row r="271" ht="12.0" customHeight="1">
      <c r="CL271" s="360" t="str">
        <f t="shared" ref="CL271:CY271" si="41">CM205&amp;","</f>
        <v>36,</v>
      </c>
      <c r="CM271" s="360" t="str">
        <f t="shared" si="41"/>
        <v>19.16,</v>
      </c>
      <c r="CN271" s="360" t="str">
        <f t="shared" si="41"/>
        <v>16.04,</v>
      </c>
      <c r="CO271" s="360" t="str">
        <f t="shared" si="41"/>
        <v>10.56,</v>
      </c>
      <c r="CP271" s="360" t="str">
        <f t="shared" si="41"/>
        <v>8.74,</v>
      </c>
      <c r="CQ271" s="360" t="str">
        <f t="shared" si="41"/>
        <v>6.54,</v>
      </c>
      <c r="CR271" s="360" t="str">
        <f t="shared" si="41"/>
        <v>0.92,</v>
      </c>
      <c r="CS271" s="360" t="str">
        <f t="shared" si="41"/>
        <v>0,</v>
      </c>
      <c r="CT271" s="360" t="str">
        <f t="shared" si="41"/>
        <v>0.98,</v>
      </c>
      <c r="CU271" s="360" t="str">
        <f t="shared" si="41"/>
        <v>0,</v>
      </c>
      <c r="CV271" s="360" t="str">
        <f t="shared" si="41"/>
        <v>0.32,</v>
      </c>
      <c r="CW271" s="360" t="str">
        <f t="shared" si="41"/>
        <v>0,</v>
      </c>
      <c r="CX271" s="360" t="str">
        <f t="shared" si="41"/>
        <v>0,</v>
      </c>
      <c r="CY271" s="360" t="str">
        <f t="shared" si="41"/>
        <v>0,</v>
      </c>
      <c r="CZ271" s="360">
        <v>0.74</v>
      </c>
      <c r="DJ271" s="83">
        <v>12.0</v>
      </c>
      <c r="DL271" s="318" t="s">
        <v>355</v>
      </c>
      <c r="DM271" s="318" t="s">
        <v>356</v>
      </c>
      <c r="DN271" s="318" t="s">
        <v>357</v>
      </c>
      <c r="DO271" s="318" t="s">
        <v>358</v>
      </c>
      <c r="DP271" s="318" t="s">
        <v>276</v>
      </c>
      <c r="DQ271" s="318" t="s">
        <v>276</v>
      </c>
      <c r="DR271" s="318" t="s">
        <v>359</v>
      </c>
      <c r="DS271" s="361" t="s">
        <v>360</v>
      </c>
      <c r="DT271" s="41"/>
      <c r="DU271" s="41"/>
      <c r="DV271" s="41"/>
      <c r="DW271" s="318" t="s">
        <v>355</v>
      </c>
      <c r="DX271" s="318" t="s">
        <v>357</v>
      </c>
      <c r="DY271" s="318" t="s">
        <v>361</v>
      </c>
      <c r="DZ271" s="361">
        <v>1.29</v>
      </c>
      <c r="EA271" s="41"/>
      <c r="EB271" s="41"/>
      <c r="EC271" s="41"/>
      <c r="ED271" s="318" t="s">
        <v>362</v>
      </c>
      <c r="EE271" s="318" t="s">
        <v>357</v>
      </c>
      <c r="EF271" s="364">
        <v>10.45</v>
      </c>
    </row>
    <row r="272" ht="12.0" customHeight="1">
      <c r="BG272" s="126" t="s">
        <v>187</v>
      </c>
      <c r="BH272" s="148"/>
      <c r="BI272" s="148"/>
      <c r="BJ272" s="148"/>
      <c r="BK272" s="148"/>
      <c r="BL272" s="148"/>
      <c r="BM272" s="148"/>
      <c r="BN272" s="148"/>
      <c r="BO272" s="148"/>
      <c r="BP272" s="148"/>
      <c r="BQ272" s="148"/>
      <c r="BR272" s="148"/>
      <c r="BS272" s="148"/>
      <c r="BT272" s="148"/>
      <c r="BU272" s="149"/>
      <c r="CL272" s="360" t="str">
        <f t="shared" ref="CL272:CY272" si="42">CM206&amp;","</f>
        <v>32.91,</v>
      </c>
      <c r="CM272" s="360" t="str">
        <f t="shared" si="42"/>
        <v>14.66,</v>
      </c>
      <c r="CN272" s="360" t="str">
        <f t="shared" si="42"/>
        <v>8.88,</v>
      </c>
      <c r="CO272" s="360" t="str">
        <f t="shared" si="42"/>
        <v>17.09,</v>
      </c>
      <c r="CP272" s="360" t="str">
        <f t="shared" si="42"/>
        <v>15.22,</v>
      </c>
      <c r="CQ272" s="360" t="str">
        <f t="shared" si="42"/>
        <v>1.88,</v>
      </c>
      <c r="CR272" s="360" t="str">
        <f t="shared" si="42"/>
        <v>7.33,</v>
      </c>
      <c r="CS272" s="360" t="str">
        <f t="shared" si="42"/>
        <v>0,</v>
      </c>
      <c r="CT272" s="360" t="str">
        <f t="shared" si="42"/>
        <v>1.1,</v>
      </c>
      <c r="CU272" s="360" t="str">
        <f t="shared" si="42"/>
        <v>0.13,</v>
      </c>
      <c r="CV272" s="360" t="str">
        <f t="shared" si="42"/>
        <v>0.41,</v>
      </c>
      <c r="CW272" s="360" t="str">
        <f t="shared" si="42"/>
        <v>0,</v>
      </c>
      <c r="CX272" s="360" t="str">
        <f t="shared" si="42"/>
        <v>0,</v>
      </c>
      <c r="CY272" s="360" t="str">
        <f t="shared" si="42"/>
        <v>0,</v>
      </c>
      <c r="CZ272" s="360">
        <v>0.39</v>
      </c>
      <c r="DJ272" s="83">
        <v>13.0</v>
      </c>
      <c r="DL272" s="318" t="s">
        <v>363</v>
      </c>
      <c r="DM272" s="318" t="s">
        <v>364</v>
      </c>
      <c r="DN272" s="318" t="s">
        <v>365</v>
      </c>
      <c r="DO272" s="318" t="s">
        <v>276</v>
      </c>
      <c r="DP272" s="318" t="s">
        <v>276</v>
      </c>
      <c r="DQ272" s="318" t="s">
        <v>276</v>
      </c>
      <c r="DR272" s="318" t="s">
        <v>366</v>
      </c>
      <c r="DS272" s="361" t="s">
        <v>367</v>
      </c>
      <c r="DT272" s="41"/>
      <c r="DU272" s="41"/>
      <c r="DV272" s="41"/>
      <c r="DW272" s="318" t="s">
        <v>363</v>
      </c>
      <c r="DX272" s="318" t="s">
        <v>365</v>
      </c>
      <c r="DY272" s="318" t="s">
        <v>368</v>
      </c>
      <c r="DZ272" s="361">
        <v>0.0</v>
      </c>
      <c r="EA272" s="41"/>
      <c r="EB272" s="41"/>
      <c r="EC272" s="41"/>
      <c r="ED272" s="318" t="s">
        <v>363</v>
      </c>
      <c r="EE272" s="318" t="s">
        <v>365</v>
      </c>
      <c r="EF272" s="364">
        <v>31.85</v>
      </c>
    </row>
    <row r="273" ht="12.0" customHeight="1">
      <c r="R273" s="41"/>
      <c r="S273" s="41"/>
      <c r="T273" s="42"/>
      <c r="U273" s="34"/>
      <c r="V273" s="372"/>
      <c r="W273" s="373"/>
      <c r="X273" s="374"/>
      <c r="Y273" s="375"/>
      <c r="Z273" s="36"/>
      <c r="AA273" s="38"/>
      <c r="AB273" s="376"/>
      <c r="AC273" s="377"/>
      <c r="AD273" s="378"/>
      <c r="AE273" s="38"/>
      <c r="AF273" s="379"/>
      <c r="AG273" s="38"/>
      <c r="AH273" s="380"/>
      <c r="BG273" s="220">
        <v>29.0</v>
      </c>
      <c r="BH273" s="221">
        <v>11.0</v>
      </c>
      <c r="BI273" s="222">
        <v>12.0</v>
      </c>
      <c r="BJ273" s="222">
        <v>8.0</v>
      </c>
      <c r="BK273" s="222">
        <v>7.0</v>
      </c>
      <c r="BL273" s="222">
        <v>3.0</v>
      </c>
      <c r="BM273" s="223">
        <v>0.0</v>
      </c>
      <c r="BN273" s="224">
        <v>2.0</v>
      </c>
      <c r="BO273" s="222">
        <v>0.0</v>
      </c>
      <c r="BP273" s="222">
        <v>0.0</v>
      </c>
      <c r="BQ273" s="222">
        <v>0.0</v>
      </c>
      <c r="BR273" s="224">
        <v>0.0</v>
      </c>
      <c r="BS273" s="222">
        <v>0.0</v>
      </c>
      <c r="BT273" s="224">
        <v>0.0</v>
      </c>
      <c r="BU273" s="225">
        <v>0.0</v>
      </c>
      <c r="CL273" s="360" t="str">
        <f t="shared" ref="CL273:CY273" si="43">CM207&amp;","</f>
        <v>29.45,</v>
      </c>
      <c r="CM273" s="360" t="str">
        <f t="shared" si="43"/>
        <v>11.76,</v>
      </c>
      <c r="CN273" s="360" t="str">
        <f t="shared" si="43"/>
        <v>13.6,</v>
      </c>
      <c r="CO273" s="360" t="str">
        <f t="shared" si="43"/>
        <v>24.01,</v>
      </c>
      <c r="CP273" s="360" t="str">
        <f t="shared" si="43"/>
        <v>11.12,</v>
      </c>
      <c r="CQ273" s="360" t="str">
        <f t="shared" si="43"/>
        <v>0.58,</v>
      </c>
      <c r="CR273" s="360" t="str">
        <f t="shared" si="43"/>
        <v>5.92,</v>
      </c>
      <c r="CS273" s="360" t="str">
        <f t="shared" si="43"/>
        <v>0,</v>
      </c>
      <c r="CT273" s="360" t="str">
        <f t="shared" si="43"/>
        <v>0,</v>
      </c>
      <c r="CU273" s="360" t="str">
        <f t="shared" si="43"/>
        <v>2.17,</v>
      </c>
      <c r="CV273" s="360" t="str">
        <f t="shared" si="43"/>
        <v>0.38,</v>
      </c>
      <c r="CW273" s="360" t="str">
        <f t="shared" si="43"/>
        <v>0,</v>
      </c>
      <c r="CX273" s="360" t="str">
        <f t="shared" si="43"/>
        <v>0,</v>
      </c>
      <c r="CY273" s="360" t="str">
        <f t="shared" si="43"/>
        <v>0.01,</v>
      </c>
      <c r="CZ273" s="360">
        <v>1.0</v>
      </c>
      <c r="DJ273" s="83">
        <v>14.0</v>
      </c>
      <c r="DL273" s="318" t="s">
        <v>369</v>
      </c>
      <c r="DM273" s="318" t="s">
        <v>370</v>
      </c>
      <c r="DN273" s="318" t="s">
        <v>371</v>
      </c>
      <c r="DO273" s="318" t="s">
        <v>372</v>
      </c>
      <c r="DP273" s="318" t="s">
        <v>276</v>
      </c>
      <c r="DQ273" s="318" t="s">
        <v>276</v>
      </c>
      <c r="DR273" s="318" t="s">
        <v>276</v>
      </c>
      <c r="DS273" s="361" t="s">
        <v>373</v>
      </c>
      <c r="DT273" s="41"/>
      <c r="DU273" s="41"/>
      <c r="DV273" s="41"/>
      <c r="DW273" s="318" t="s">
        <v>369</v>
      </c>
      <c r="DX273" s="318" t="s">
        <v>371</v>
      </c>
      <c r="DY273" s="318" t="s">
        <v>374</v>
      </c>
      <c r="DZ273" s="361">
        <v>0.92</v>
      </c>
      <c r="EA273" s="41"/>
      <c r="EB273" s="41"/>
      <c r="EC273" s="41"/>
      <c r="ED273" s="318" t="s">
        <v>375</v>
      </c>
      <c r="EE273" s="318" t="s">
        <v>371</v>
      </c>
      <c r="EF273" s="364">
        <v>19.9</v>
      </c>
    </row>
    <row r="274" ht="12.0" customHeight="1">
      <c r="R274" s="41"/>
      <c r="S274" s="151" t="s">
        <v>264</v>
      </c>
      <c r="T274" s="60" t="s">
        <v>12</v>
      </c>
      <c r="U274" s="61" t="s">
        <v>13</v>
      </c>
      <c r="V274" s="61" t="s">
        <v>14</v>
      </c>
      <c r="W274" s="61" t="s">
        <v>15</v>
      </c>
      <c r="X274" s="61" t="s">
        <v>16</v>
      </c>
      <c r="Y274" s="61" t="s">
        <v>17</v>
      </c>
      <c r="Z274" s="382" t="s">
        <v>18</v>
      </c>
      <c r="AA274" s="382" t="s">
        <v>19</v>
      </c>
      <c r="AB274" s="61" t="s">
        <v>20</v>
      </c>
      <c r="AC274" s="61" t="s">
        <v>21</v>
      </c>
      <c r="AD274" s="61" t="s">
        <v>22</v>
      </c>
      <c r="AE274" s="382" t="s">
        <v>23</v>
      </c>
      <c r="AF274" s="61" t="s">
        <v>24</v>
      </c>
      <c r="AG274" s="61" t="s">
        <v>25</v>
      </c>
      <c r="AH274" s="383" t="s">
        <v>26</v>
      </c>
      <c r="CL274" s="360" t="str">
        <f t="shared" ref="CL274:CY274" si="44">CM208&amp;","</f>
        <v>31.71,</v>
      </c>
      <c r="CM274" s="360" t="str">
        <f t="shared" si="44"/>
        <v>8.94,</v>
      </c>
      <c r="CN274" s="360" t="str">
        <f t="shared" si="44"/>
        <v>3.55,</v>
      </c>
      <c r="CO274" s="360" t="str">
        <f t="shared" si="44"/>
        <v>29.02,</v>
      </c>
      <c r="CP274" s="360" t="str">
        <f t="shared" si="44"/>
        <v>11.14,</v>
      </c>
      <c r="CQ274" s="360" t="str">
        <f t="shared" si="44"/>
        <v>2.39,</v>
      </c>
      <c r="CR274" s="360" t="str">
        <f t="shared" si="44"/>
        <v>9.89,</v>
      </c>
      <c r="CS274" s="360" t="str">
        <f t="shared" si="44"/>
        <v>0,</v>
      </c>
      <c r="CT274" s="360" t="str">
        <f t="shared" si="44"/>
        <v>0.82,</v>
      </c>
      <c r="CU274" s="360" t="str">
        <f t="shared" si="44"/>
        <v>0,</v>
      </c>
      <c r="CV274" s="360" t="str">
        <f t="shared" si="44"/>
        <v>0.28,</v>
      </c>
      <c r="CW274" s="360" t="str">
        <f t="shared" si="44"/>
        <v>0,</v>
      </c>
      <c r="CX274" s="360" t="str">
        <f t="shared" si="44"/>
        <v>0,</v>
      </c>
      <c r="CY274" s="360" t="str">
        <f t="shared" si="44"/>
        <v>0.01,</v>
      </c>
      <c r="CZ274" s="360">
        <v>2.25</v>
      </c>
      <c r="DJ274" s="83">
        <v>15.0</v>
      </c>
      <c r="DL274" s="318" t="s">
        <v>376</v>
      </c>
      <c r="DM274" s="318" t="s">
        <v>377</v>
      </c>
      <c r="DN274" s="318" t="s">
        <v>378</v>
      </c>
      <c r="DO274" s="318" t="s">
        <v>379</v>
      </c>
      <c r="DP274" s="318" t="s">
        <v>276</v>
      </c>
      <c r="DQ274" s="318" t="s">
        <v>276</v>
      </c>
      <c r="DR274" s="318" t="s">
        <v>276</v>
      </c>
      <c r="DS274" s="361" t="s">
        <v>380</v>
      </c>
      <c r="DT274" s="41"/>
      <c r="DU274" s="41"/>
      <c r="DV274" s="41"/>
      <c r="DW274" s="318" t="s">
        <v>376</v>
      </c>
      <c r="DX274" s="318" t="s">
        <v>378</v>
      </c>
      <c r="DY274" s="318" t="s">
        <v>381</v>
      </c>
      <c r="DZ274" s="361">
        <v>7.33</v>
      </c>
      <c r="EA274" s="41"/>
      <c r="EB274" s="41"/>
      <c r="EC274" s="41"/>
      <c r="ED274" s="318" t="s">
        <v>382</v>
      </c>
      <c r="EE274" s="318" t="s">
        <v>378</v>
      </c>
      <c r="EF274" s="364">
        <v>15.05</v>
      </c>
    </row>
    <row r="275" ht="12.0" customHeight="1">
      <c r="R275" s="151">
        <v>1.0</v>
      </c>
      <c r="S275" s="151" t="s">
        <v>252</v>
      </c>
      <c r="T275" s="436">
        <v>37.5094285714286</v>
      </c>
      <c r="U275" s="437">
        <v>12.607999999999999</v>
      </c>
      <c r="V275" s="437">
        <v>10.736571428571429</v>
      </c>
      <c r="W275" s="437">
        <v>9.419714285714283</v>
      </c>
      <c r="X275" s="437">
        <v>11.463142857142856</v>
      </c>
      <c r="Y275" s="437">
        <v>9.605714285714283</v>
      </c>
      <c r="Z275" s="437">
        <v>2.7142857142857144</v>
      </c>
      <c r="AA275" s="437">
        <v>5.714285714285715E-4</v>
      </c>
      <c r="AB275" s="437">
        <v>1.3174285714285712</v>
      </c>
      <c r="AC275" s="437">
        <v>0.3322857142857143</v>
      </c>
      <c r="AD275" s="437">
        <v>0.6157142857142858</v>
      </c>
      <c r="AE275" s="437">
        <v>1.3231428571428572</v>
      </c>
      <c r="AF275" s="437">
        <v>0.26371428571428573</v>
      </c>
      <c r="AG275" s="437">
        <v>0.3374285714285714</v>
      </c>
      <c r="AH275" s="438">
        <v>1.7539999999999998</v>
      </c>
      <c r="CL275" s="360" t="str">
        <f t="shared" ref="CL275:CY275" si="45">CM209&amp;","</f>
        <v>38.12,</v>
      </c>
      <c r="CM275" s="360" t="str">
        <f t="shared" si="45"/>
        <v>17.31,</v>
      </c>
      <c r="CN275" s="360" t="str">
        <f t="shared" si="45"/>
        <v>13.4,</v>
      </c>
      <c r="CO275" s="360" t="str">
        <f t="shared" si="45"/>
        <v>9.46,</v>
      </c>
      <c r="CP275" s="360" t="str">
        <f t="shared" si="45"/>
        <v>9.62,</v>
      </c>
      <c r="CQ275" s="360" t="str">
        <f t="shared" si="45"/>
        <v>7.23,</v>
      </c>
      <c r="CR275" s="360" t="str">
        <f t="shared" si="45"/>
        <v>1.43,</v>
      </c>
      <c r="CS275" s="360" t="str">
        <f t="shared" si="45"/>
        <v>0,</v>
      </c>
      <c r="CT275" s="360" t="str">
        <f t="shared" si="45"/>
        <v>0,</v>
      </c>
      <c r="CU275" s="360" t="str">
        <f t="shared" si="45"/>
        <v>0.12,</v>
      </c>
      <c r="CV275" s="360" t="str">
        <f t="shared" si="45"/>
        <v>1.6,</v>
      </c>
      <c r="CW275" s="360" t="str">
        <f t="shared" si="45"/>
        <v>0,</v>
      </c>
      <c r="CX275" s="360" t="str">
        <f t="shared" si="45"/>
        <v>0,</v>
      </c>
      <c r="CY275" s="360" t="str">
        <f t="shared" si="45"/>
        <v>0.17,</v>
      </c>
      <c r="CZ275" s="360">
        <v>1.54</v>
      </c>
      <c r="DJ275" s="83">
        <v>16.0</v>
      </c>
      <c r="DL275" s="318" t="s">
        <v>383</v>
      </c>
      <c r="DM275" s="318" t="s">
        <v>384</v>
      </c>
      <c r="DN275" s="318" t="s">
        <v>385</v>
      </c>
      <c r="DO275" s="318" t="s">
        <v>386</v>
      </c>
      <c r="DP275" s="318" t="s">
        <v>276</v>
      </c>
      <c r="DQ275" s="318" t="s">
        <v>276</v>
      </c>
      <c r="DR275" s="318" t="s">
        <v>301</v>
      </c>
      <c r="DS275" s="361" t="s">
        <v>387</v>
      </c>
      <c r="DT275" s="41"/>
      <c r="DU275" s="41"/>
      <c r="DV275" s="41"/>
      <c r="DW275" s="318" t="s">
        <v>383</v>
      </c>
      <c r="DX275" s="318" t="s">
        <v>385</v>
      </c>
      <c r="DY275" s="318" t="s">
        <v>388</v>
      </c>
      <c r="DZ275" s="361">
        <v>5.92</v>
      </c>
      <c r="EA275" s="41"/>
      <c r="EB275" s="41"/>
      <c r="EC275" s="41"/>
      <c r="ED275" s="318" t="s">
        <v>389</v>
      </c>
      <c r="EE275" s="318" t="s">
        <v>385</v>
      </c>
      <c r="EF275" s="364">
        <v>12.77</v>
      </c>
    </row>
    <row r="276" ht="12.0" customHeight="1">
      <c r="R276" s="393">
        <v>2.0</v>
      </c>
      <c r="S276" s="393" t="s">
        <v>253</v>
      </c>
      <c r="T276" s="439">
        <v>19.446206896551722</v>
      </c>
      <c r="U276" s="440">
        <v>20.588275862068965</v>
      </c>
      <c r="V276" s="440">
        <v>15.95172413793103</v>
      </c>
      <c r="W276" s="440">
        <v>12.357586206896547</v>
      </c>
      <c r="X276" s="440">
        <v>8.180000000000001</v>
      </c>
      <c r="Y276" s="440">
        <v>0.2548275862068965</v>
      </c>
      <c r="Z276" s="440">
        <v>3.002413793103448</v>
      </c>
      <c r="AA276" s="440">
        <v>5.6241379310344835</v>
      </c>
      <c r="AB276" s="440">
        <v>0.8341379310344827</v>
      </c>
      <c r="AC276" s="440">
        <v>2.55448275862069</v>
      </c>
      <c r="AD276" s="440">
        <v>1.0300000000000002</v>
      </c>
      <c r="AE276" s="440">
        <v>0.26827586206896553</v>
      </c>
      <c r="AF276" s="440">
        <v>1.1048275862068966</v>
      </c>
      <c r="AG276" s="440">
        <v>0.5658620689655173</v>
      </c>
      <c r="AH276" s="441">
        <v>6.0395833333333355</v>
      </c>
      <c r="CL276" s="360" t="str">
        <f t="shared" ref="CL276:CY276" si="46">CM210&amp;","</f>
        <v>34.39,</v>
      </c>
      <c r="CM276" s="360" t="str">
        <f t="shared" si="46"/>
        <v>10.55,</v>
      </c>
      <c r="CN276" s="360" t="str">
        <f t="shared" si="46"/>
        <v>23.47,</v>
      </c>
      <c r="CO276" s="360" t="str">
        <f t="shared" si="46"/>
        <v>13.45,</v>
      </c>
      <c r="CP276" s="360" t="str">
        <f t="shared" si="46"/>
        <v>11.72,</v>
      </c>
      <c r="CQ276" s="360" t="str">
        <f t="shared" si="46"/>
        <v>0.88,</v>
      </c>
      <c r="CR276" s="360" t="str">
        <f t="shared" si="46"/>
        <v>1.15,</v>
      </c>
      <c r="CS276" s="360" t="str">
        <f t="shared" si="46"/>
        <v>0,</v>
      </c>
      <c r="CT276" s="360" t="str">
        <f t="shared" si="46"/>
        <v>1.08,</v>
      </c>
      <c r="CU276" s="360" t="str">
        <f t="shared" si="46"/>
        <v>0,</v>
      </c>
      <c r="CV276" s="360" t="str">
        <f t="shared" si="46"/>
        <v>0.87,</v>
      </c>
      <c r="CW276" s="360" t="str">
        <f t="shared" si="46"/>
        <v>0,</v>
      </c>
      <c r="CX276" s="360" t="str">
        <f t="shared" si="46"/>
        <v>0,</v>
      </c>
      <c r="CY276" s="360" t="str">
        <f t="shared" si="46"/>
        <v>1.2,</v>
      </c>
      <c r="CZ276" s="360">
        <v>1.24</v>
      </c>
      <c r="DJ276" s="83">
        <v>17.0</v>
      </c>
      <c r="DL276" s="318" t="s">
        <v>390</v>
      </c>
      <c r="DM276" s="318" t="s">
        <v>391</v>
      </c>
      <c r="DN276" s="318" t="s">
        <v>392</v>
      </c>
      <c r="DO276" s="318" t="s">
        <v>393</v>
      </c>
      <c r="DP276" s="318" t="s">
        <v>276</v>
      </c>
      <c r="DQ276" s="318" t="s">
        <v>276</v>
      </c>
      <c r="DR276" s="318" t="s">
        <v>301</v>
      </c>
      <c r="DS276" s="361" t="s">
        <v>394</v>
      </c>
      <c r="DT276" s="41"/>
      <c r="DU276" s="41"/>
      <c r="DV276" s="41"/>
      <c r="DW276" s="318" t="s">
        <v>390</v>
      </c>
      <c r="DX276" s="318" t="s">
        <v>392</v>
      </c>
      <c r="DY276" s="318" t="s">
        <v>395</v>
      </c>
      <c r="DZ276" s="361">
        <v>9.89</v>
      </c>
      <c r="EA276" s="41"/>
      <c r="EB276" s="41"/>
      <c r="EC276" s="41"/>
      <c r="ED276" s="318" t="s">
        <v>396</v>
      </c>
      <c r="EE276" s="318" t="s">
        <v>392</v>
      </c>
      <c r="EF276" s="364">
        <v>11.2</v>
      </c>
    </row>
    <row r="277" ht="12.0" customHeight="1">
      <c r="CL277" s="360" t="str">
        <f t="shared" ref="CL277:CY277" si="47">CM211&amp;","</f>
        <v>27.47,</v>
      </c>
      <c r="CM277" s="360" t="str">
        <f t="shared" si="47"/>
        <v>10.3,</v>
      </c>
      <c r="CN277" s="360" t="str">
        <f t="shared" si="47"/>
        <v>8.67,</v>
      </c>
      <c r="CO277" s="360" t="str">
        <f t="shared" si="47"/>
        <v>38.15,</v>
      </c>
      <c r="CP277" s="360" t="str">
        <f t="shared" si="47"/>
        <v>9.85,</v>
      </c>
      <c r="CQ277" s="360" t="str">
        <f t="shared" si="47"/>
        <v>0.82,</v>
      </c>
      <c r="CR277" s="360" t="str">
        <f t="shared" si="47"/>
        <v>0.8,</v>
      </c>
      <c r="CS277" s="360" t="str">
        <f t="shared" si="47"/>
        <v>0,</v>
      </c>
      <c r="CT277" s="360" t="str">
        <f t="shared" si="47"/>
        <v>0.15,</v>
      </c>
      <c r="CU277" s="360" t="str">
        <f t="shared" si="47"/>
        <v>3.22,</v>
      </c>
      <c r="CV277" s="360" t="str">
        <f t="shared" si="47"/>
        <v>0,</v>
      </c>
      <c r="CW277" s="360" t="str">
        <f t="shared" si="47"/>
        <v>0,</v>
      </c>
      <c r="CX277" s="360" t="str">
        <f t="shared" si="47"/>
        <v>0,</v>
      </c>
      <c r="CY277" s="360" t="str">
        <f t="shared" si="47"/>
        <v>0,</v>
      </c>
      <c r="CZ277" s="360">
        <v>0.57</v>
      </c>
      <c r="DJ277" s="83">
        <v>18.0</v>
      </c>
      <c r="DL277" s="318" t="s">
        <v>397</v>
      </c>
      <c r="DM277" s="318" t="s">
        <v>398</v>
      </c>
      <c r="DN277" s="318" t="s">
        <v>399</v>
      </c>
      <c r="DO277" s="318" t="s">
        <v>400</v>
      </c>
      <c r="DP277" s="318" t="s">
        <v>276</v>
      </c>
      <c r="DQ277" s="318" t="s">
        <v>276</v>
      </c>
      <c r="DR277" s="318" t="s">
        <v>401</v>
      </c>
      <c r="DS277" s="361" t="s">
        <v>402</v>
      </c>
      <c r="DT277" s="41"/>
      <c r="DU277" s="41"/>
      <c r="DV277" s="41"/>
      <c r="DW277" s="318" t="s">
        <v>397</v>
      </c>
      <c r="DX277" s="318" t="s">
        <v>399</v>
      </c>
      <c r="DY277" s="318" t="s">
        <v>403</v>
      </c>
      <c r="DZ277" s="361">
        <v>1.43</v>
      </c>
      <c r="EA277" s="41"/>
      <c r="EB277" s="41"/>
      <c r="EC277" s="41"/>
      <c r="ED277" s="318" t="s">
        <v>404</v>
      </c>
      <c r="EE277" s="318" t="s">
        <v>399</v>
      </c>
      <c r="EF277" s="364">
        <v>19.02</v>
      </c>
    </row>
    <row r="278" ht="12.0" customHeight="1">
      <c r="CL278" s="360" t="str">
        <f t="shared" ref="CL278:CY278" si="48">CM212&amp;","</f>
        <v>28.94,</v>
      </c>
      <c r="CM278" s="360" t="str">
        <f t="shared" si="48"/>
        <v>11.04,</v>
      </c>
      <c r="CN278" s="360" t="str">
        <f t="shared" si="48"/>
        <v>0.1,</v>
      </c>
      <c r="CO278" s="360" t="str">
        <f t="shared" si="48"/>
        <v>4.24,</v>
      </c>
      <c r="CP278" s="360" t="str">
        <f t="shared" si="48"/>
        <v>25.33,</v>
      </c>
      <c r="CQ278" s="360" t="str">
        <f t="shared" si="48"/>
        <v>5.33,</v>
      </c>
      <c r="CR278" s="360" t="str">
        <f t="shared" si="48"/>
        <v>0,</v>
      </c>
      <c r="CS278" s="360" t="str">
        <f t="shared" si="48"/>
        <v>0,</v>
      </c>
      <c r="CT278" s="360" t="str">
        <f t="shared" si="48"/>
        <v>20.84,</v>
      </c>
      <c r="CU278" s="360" t="str">
        <f t="shared" si="48"/>
        <v>0.15,</v>
      </c>
      <c r="CV278" s="360" t="str">
        <f t="shared" si="48"/>
        <v>0.11,</v>
      </c>
      <c r="CW278" s="360" t="str">
        <f t="shared" si="48"/>
        <v>0,</v>
      </c>
      <c r="CX278" s="360" t="str">
        <f t="shared" si="48"/>
        <v>0,</v>
      </c>
      <c r="CY278" s="360" t="str">
        <f t="shared" si="48"/>
        <v>0,</v>
      </c>
      <c r="CZ278" s="360">
        <v>3.92</v>
      </c>
      <c r="DJ278" s="83">
        <v>19.0</v>
      </c>
      <c r="DL278" s="318" t="s">
        <v>405</v>
      </c>
      <c r="DM278" s="318" t="s">
        <v>406</v>
      </c>
      <c r="DN278" s="318" t="s">
        <v>407</v>
      </c>
      <c r="DO278" s="318" t="s">
        <v>408</v>
      </c>
      <c r="DP278" s="318" t="s">
        <v>276</v>
      </c>
      <c r="DQ278" s="318" t="s">
        <v>276</v>
      </c>
      <c r="DR278" s="318" t="s">
        <v>409</v>
      </c>
      <c r="DS278" s="361" t="s">
        <v>410</v>
      </c>
      <c r="DT278" s="41"/>
      <c r="DU278" s="41"/>
      <c r="DV278" s="41"/>
      <c r="DW278" s="318" t="s">
        <v>405</v>
      </c>
      <c r="DX278" s="318" t="s">
        <v>407</v>
      </c>
      <c r="DY278" s="318" t="s">
        <v>411</v>
      </c>
      <c r="DZ278" s="361">
        <v>1.15</v>
      </c>
      <c r="EA278" s="41"/>
      <c r="EB278" s="41"/>
      <c r="EC278" s="41"/>
      <c r="ED278" s="318" t="s">
        <v>412</v>
      </c>
      <c r="EE278" s="318" t="s">
        <v>407</v>
      </c>
      <c r="EF278" s="364">
        <v>12.99</v>
      </c>
    </row>
    <row r="279" ht="12.0" customHeight="1">
      <c r="CL279" s="360" t="str">
        <f t="shared" ref="CL279:CY279" si="49">CM213&amp;","</f>
        <v>17.73,</v>
      </c>
      <c r="CM279" s="360" t="str">
        <f t="shared" si="49"/>
        <v>11.07,</v>
      </c>
      <c r="CN279" s="360" t="str">
        <f t="shared" si="49"/>
        <v>23.84,</v>
      </c>
      <c r="CO279" s="360" t="str">
        <f t="shared" si="49"/>
        <v>35.34,</v>
      </c>
      <c r="CP279" s="360" t="str">
        <f t="shared" si="49"/>
        <v>10.48,</v>
      </c>
      <c r="CQ279" s="360" t="str">
        <f t="shared" si="49"/>
        <v>0,</v>
      </c>
      <c r="CR279" s="360" t="str">
        <f t="shared" si="49"/>
        <v>0.83,</v>
      </c>
      <c r="CS279" s="360" t="str">
        <f t="shared" si="49"/>
        <v>0,</v>
      </c>
      <c r="CT279" s="360" t="str">
        <f t="shared" si="49"/>
        <v>0,</v>
      </c>
      <c r="CU279" s="360" t="str">
        <f t="shared" si="49"/>
        <v>0.34,</v>
      </c>
      <c r="CV279" s="360" t="str">
        <f t="shared" si="49"/>
        <v>0,</v>
      </c>
      <c r="CW279" s="360" t="str">
        <f t="shared" si="49"/>
        <v>0,</v>
      </c>
      <c r="CX279" s="360" t="str">
        <f t="shared" si="49"/>
        <v>0,</v>
      </c>
      <c r="CY279" s="360" t="str">
        <f t="shared" si="49"/>
        <v>0.36,</v>
      </c>
      <c r="CZ279" s="360">
        <v>0.05</v>
      </c>
      <c r="DJ279" s="83">
        <v>20.0</v>
      </c>
      <c r="DL279" s="318" t="s">
        <v>413</v>
      </c>
      <c r="DM279" s="318" t="s">
        <v>414</v>
      </c>
      <c r="DN279" s="318" t="s">
        <v>415</v>
      </c>
      <c r="DO279" s="318" t="s">
        <v>416</v>
      </c>
      <c r="DP279" s="318" t="s">
        <v>276</v>
      </c>
      <c r="DQ279" s="318" t="s">
        <v>276</v>
      </c>
      <c r="DR279" s="318" t="s">
        <v>276</v>
      </c>
      <c r="DS279" s="361" t="s">
        <v>417</v>
      </c>
      <c r="DT279" s="41"/>
      <c r="DU279" s="41"/>
      <c r="DV279" s="41"/>
      <c r="DW279" s="318" t="s">
        <v>413</v>
      </c>
      <c r="DX279" s="318" t="s">
        <v>415</v>
      </c>
      <c r="DY279" s="318" t="s">
        <v>418</v>
      </c>
      <c r="DZ279" s="361">
        <v>0.8</v>
      </c>
      <c r="EA279" s="41"/>
      <c r="EB279" s="41"/>
      <c r="EC279" s="41"/>
      <c r="ED279" s="318" t="s">
        <v>419</v>
      </c>
      <c r="EE279" s="318" t="s">
        <v>415</v>
      </c>
      <c r="EF279" s="364">
        <v>10.870000000000001</v>
      </c>
    </row>
    <row r="280" ht="12.0" customHeight="1">
      <c r="CL280" s="360" t="str">
        <f t="shared" ref="CL280:CY280" si="50">CM214&amp;","</f>
        <v>16.05,</v>
      </c>
      <c r="CM280" s="360" t="str">
        <f t="shared" si="50"/>
        <v>9.56,</v>
      </c>
      <c r="CN280" s="360" t="str">
        <f t="shared" si="50"/>
        <v>14.52,</v>
      </c>
      <c r="CO280" s="360" t="str">
        <f t="shared" si="50"/>
        <v>34.9,</v>
      </c>
      <c r="CP280" s="360" t="str">
        <f t="shared" si="50"/>
        <v>11.89,</v>
      </c>
      <c r="CQ280" s="360" t="str">
        <f t="shared" si="50"/>
        <v>1.8,</v>
      </c>
      <c r="CR280" s="360" t="str">
        <f t="shared" si="50"/>
        <v>5.17,</v>
      </c>
      <c r="CS280" s="360" t="str">
        <f t="shared" si="50"/>
        <v>0,</v>
      </c>
      <c r="CT280" s="360" t="str">
        <f t="shared" si="50"/>
        <v>0,</v>
      </c>
      <c r="CU280" s="360" t="str">
        <f t="shared" si="50"/>
        <v>4.11,</v>
      </c>
      <c r="CV280" s="360" t="str">
        <f t="shared" si="50"/>
        <v>0.33,</v>
      </c>
      <c r="CW280" s="360" t="str">
        <f t="shared" si="50"/>
        <v>0,</v>
      </c>
      <c r="CX280" s="360" t="str">
        <f t="shared" si="50"/>
        <v>0,</v>
      </c>
      <c r="CY280" s="360" t="str">
        <f t="shared" si="50"/>
        <v>0.29,</v>
      </c>
      <c r="CZ280" s="360">
        <v>1.38</v>
      </c>
      <c r="DJ280" s="83">
        <v>21.0</v>
      </c>
      <c r="DL280" s="318" t="s">
        <v>420</v>
      </c>
      <c r="DM280" s="318" t="s">
        <v>421</v>
      </c>
      <c r="DN280" s="318" t="s">
        <v>422</v>
      </c>
      <c r="DO280" s="318" t="s">
        <v>276</v>
      </c>
      <c r="DP280" s="318" t="s">
        <v>276</v>
      </c>
      <c r="DQ280" s="318" t="s">
        <v>276</v>
      </c>
      <c r="DR280" s="318" t="s">
        <v>276</v>
      </c>
      <c r="DS280" s="361" t="s">
        <v>423</v>
      </c>
      <c r="DT280" s="41"/>
      <c r="DU280" s="41"/>
      <c r="DV280" s="41"/>
      <c r="DW280" s="318" t="s">
        <v>420</v>
      </c>
      <c r="DX280" s="318" t="s">
        <v>422</v>
      </c>
      <c r="DY280" s="318" t="s">
        <v>424</v>
      </c>
      <c r="DZ280" s="361">
        <v>0.0</v>
      </c>
      <c r="EA280" s="41"/>
      <c r="EB280" s="41"/>
      <c r="EC280" s="41"/>
      <c r="ED280" s="318" t="s">
        <v>420</v>
      </c>
      <c r="EE280" s="318" t="s">
        <v>422</v>
      </c>
      <c r="EF280" s="364">
        <v>14.959999999999999</v>
      </c>
    </row>
    <row r="281" ht="12.0" customHeight="1">
      <c r="CL281" s="360" t="str">
        <f t="shared" ref="CL281:CY281" si="51">CM215&amp;","</f>
        <v>28.85,</v>
      </c>
      <c r="CM281" s="360" t="str">
        <f t="shared" si="51"/>
        <v>10.38,</v>
      </c>
      <c r="CN281" s="360" t="str">
        <f t="shared" si="51"/>
        <v>13.85,</v>
      </c>
      <c r="CO281" s="360" t="str">
        <f t="shared" si="51"/>
        <v>29.8,</v>
      </c>
      <c r="CP281" s="360" t="str">
        <f t="shared" si="51"/>
        <v>0,</v>
      </c>
      <c r="CQ281" s="360" t="str">
        <f t="shared" si="51"/>
        <v>0,</v>
      </c>
      <c r="CR281" s="360" t="str">
        <f t="shared" si="51"/>
        <v>4.2,</v>
      </c>
      <c r="CS281" s="360" t="str">
        <f t="shared" si="51"/>
        <v>0,</v>
      </c>
      <c r="CT281" s="360" t="str">
        <f t="shared" si="51"/>
        <v>1.18,</v>
      </c>
      <c r="CU281" s="360" t="str">
        <f t="shared" si="51"/>
        <v>10.88,</v>
      </c>
      <c r="CV281" s="360" t="str">
        <f t="shared" si="51"/>
        <v>0,</v>
      </c>
      <c r="CW281" s="360" t="str">
        <f t="shared" si="51"/>
        <v>0,</v>
      </c>
      <c r="CX281" s="360" t="str">
        <f t="shared" si="51"/>
        <v>0,</v>
      </c>
      <c r="CY281" s="360" t="str">
        <f t="shared" si="51"/>
        <v>0,</v>
      </c>
      <c r="CZ281" s="360">
        <v>0.86</v>
      </c>
      <c r="DJ281" s="83">
        <v>22.0</v>
      </c>
      <c r="DL281" s="318" t="s">
        <v>425</v>
      </c>
      <c r="DM281" s="318" t="s">
        <v>426</v>
      </c>
      <c r="DN281" s="318" t="s">
        <v>427</v>
      </c>
      <c r="DO281" s="318" t="s">
        <v>428</v>
      </c>
      <c r="DP281" s="318" t="s">
        <v>276</v>
      </c>
      <c r="DQ281" s="318" t="s">
        <v>276</v>
      </c>
      <c r="DR281" s="318" t="s">
        <v>429</v>
      </c>
      <c r="DS281" s="361" t="s">
        <v>430</v>
      </c>
      <c r="DT281" s="41"/>
      <c r="DU281" s="41"/>
      <c r="DV281" s="41"/>
      <c r="DW281" s="318" t="s">
        <v>425</v>
      </c>
      <c r="DX281" s="318" t="s">
        <v>427</v>
      </c>
      <c r="DY281" s="318" t="s">
        <v>431</v>
      </c>
      <c r="DZ281" s="361">
        <v>0.83</v>
      </c>
      <c r="EA281" s="41"/>
      <c r="EB281" s="41"/>
      <c r="EC281" s="41"/>
      <c r="ED281" s="318" t="s">
        <v>432</v>
      </c>
      <c r="EE281" s="318" t="s">
        <v>427</v>
      </c>
      <c r="EF281" s="364">
        <v>11.48</v>
      </c>
    </row>
    <row r="282" ht="12.0" customHeight="1">
      <c r="CL282" s="360" t="str">
        <f t="shared" ref="CL282:CY282" si="52">CM216&amp;","</f>
        <v>32.01,</v>
      </c>
      <c r="CM282" s="360" t="str">
        <f t="shared" si="52"/>
        <v>19.89,</v>
      </c>
      <c r="CN282" s="360" t="str">
        <f t="shared" si="52"/>
        <v>20.45,</v>
      </c>
      <c r="CO282" s="360" t="str">
        <f t="shared" si="52"/>
        <v>12.33,</v>
      </c>
      <c r="CP282" s="360" t="str">
        <f t="shared" si="52"/>
        <v>6.37,</v>
      </c>
      <c r="CQ282" s="360" t="str">
        <f t="shared" si="52"/>
        <v>0.55,</v>
      </c>
      <c r="CR282" s="360" t="str">
        <f t="shared" si="52"/>
        <v>1.96,</v>
      </c>
      <c r="CS282" s="360" t="str">
        <f t="shared" si="52"/>
        <v>0,</v>
      </c>
      <c r="CT282" s="360" t="str">
        <f t="shared" si="52"/>
        <v>0,</v>
      </c>
      <c r="CU282" s="360" t="str">
        <f t="shared" si="52"/>
        <v>1.12,</v>
      </c>
      <c r="CV282" s="360" t="str">
        <f t="shared" si="52"/>
        <v>3.54,</v>
      </c>
      <c r="CW282" s="360" t="str">
        <f t="shared" si="52"/>
        <v>0,</v>
      </c>
      <c r="CX282" s="360" t="str">
        <f t="shared" si="52"/>
        <v>0,</v>
      </c>
      <c r="CY282" s="360" t="str">
        <f t="shared" si="52"/>
        <v>0.92,</v>
      </c>
      <c r="CZ282" s="360">
        <v>0.86</v>
      </c>
      <c r="DJ282" s="83">
        <v>23.0</v>
      </c>
      <c r="DL282" s="318" t="s">
        <v>433</v>
      </c>
      <c r="DM282" s="318" t="s">
        <v>434</v>
      </c>
      <c r="DN282" s="318" t="s">
        <v>435</v>
      </c>
      <c r="DO282" s="318" t="s">
        <v>436</v>
      </c>
      <c r="DP282" s="318" t="s">
        <v>276</v>
      </c>
      <c r="DQ282" s="318" t="s">
        <v>276</v>
      </c>
      <c r="DR282" s="318" t="s">
        <v>437</v>
      </c>
      <c r="DS282" s="361" t="s">
        <v>438</v>
      </c>
      <c r="DT282" s="41"/>
      <c r="DU282" s="41"/>
      <c r="DV282" s="41"/>
      <c r="DW282" s="318" t="s">
        <v>433</v>
      </c>
      <c r="DX282" s="318" t="s">
        <v>435</v>
      </c>
      <c r="DY282" s="318" t="s">
        <v>439</v>
      </c>
      <c r="DZ282" s="361">
        <v>5.17</v>
      </c>
      <c r="EA282" s="41"/>
      <c r="EB282" s="41"/>
      <c r="EC282" s="41"/>
      <c r="ED282" s="318" t="s">
        <v>440</v>
      </c>
      <c r="EE282" s="318" t="s">
        <v>435</v>
      </c>
      <c r="EF282" s="364">
        <v>11.23</v>
      </c>
    </row>
    <row r="283" ht="12.0" customHeight="1">
      <c r="S283" s="41"/>
      <c r="T283" s="42"/>
      <c r="U283" s="34"/>
      <c r="V283" s="372"/>
      <c r="W283" s="373"/>
      <c r="X283" s="374"/>
      <c r="Y283" s="375"/>
      <c r="Z283" s="36"/>
      <c r="AA283" s="38"/>
      <c r="AB283" s="376"/>
      <c r="AC283" s="377"/>
      <c r="AD283" s="378"/>
      <c r="AE283" s="38"/>
      <c r="AF283" s="379"/>
      <c r="AG283" s="38"/>
      <c r="AH283" s="380"/>
      <c r="CL283" s="360" t="str">
        <f t="shared" ref="CL283:CY283" si="53">CM217&amp;","</f>
        <v>11.55,</v>
      </c>
      <c r="CM283" s="360" t="str">
        <f t="shared" si="53"/>
        <v>17.91,</v>
      </c>
      <c r="CN283" s="360" t="str">
        <f t="shared" si="53"/>
        <v>14.55,</v>
      </c>
      <c r="CO283" s="360" t="str">
        <f t="shared" si="53"/>
        <v>21.06,</v>
      </c>
      <c r="CP283" s="360" t="str">
        <f t="shared" si="53"/>
        <v>16.54,</v>
      </c>
      <c r="CQ283" s="360" t="str">
        <f t="shared" si="53"/>
        <v>0,</v>
      </c>
      <c r="CR283" s="360" t="str">
        <f t="shared" si="53"/>
        <v>4.26,</v>
      </c>
      <c r="CS283" s="360" t="str">
        <f t="shared" si="53"/>
        <v>0,</v>
      </c>
      <c r="CT283" s="360" t="str">
        <f t="shared" si="53"/>
        <v>0.7,</v>
      </c>
      <c r="CU283" s="360" t="str">
        <f t="shared" si="53"/>
        <v>7.45,</v>
      </c>
      <c r="CV283" s="360" t="str">
        <f t="shared" si="53"/>
        <v>2.96,</v>
      </c>
      <c r="CW283" s="360" t="str">
        <f t="shared" si="53"/>
        <v>0,</v>
      </c>
      <c r="CX283" s="360" t="str">
        <f t="shared" si="53"/>
        <v>0,</v>
      </c>
      <c r="CY283" s="360" t="str">
        <f t="shared" si="53"/>
        <v>1.65,</v>
      </c>
      <c r="CZ283" s="360">
        <v>1.37</v>
      </c>
      <c r="DJ283" s="83">
        <v>24.0</v>
      </c>
      <c r="DL283" s="318" t="s">
        <v>441</v>
      </c>
      <c r="DM283" s="318" t="s">
        <v>442</v>
      </c>
      <c r="DN283" s="318" t="s">
        <v>443</v>
      </c>
      <c r="DO283" s="318" t="s">
        <v>444</v>
      </c>
      <c r="DP283" s="318" t="s">
        <v>276</v>
      </c>
      <c r="DQ283" s="318" t="s">
        <v>276</v>
      </c>
      <c r="DR283" s="318" t="s">
        <v>276</v>
      </c>
      <c r="DS283" s="361" t="s">
        <v>445</v>
      </c>
      <c r="DT283" s="41"/>
      <c r="DU283" s="41"/>
      <c r="DV283" s="41"/>
      <c r="DW283" s="318" t="s">
        <v>441</v>
      </c>
      <c r="DX283" s="318" t="s">
        <v>443</v>
      </c>
      <c r="DY283" s="318" t="s">
        <v>446</v>
      </c>
      <c r="DZ283" s="361">
        <v>4.2</v>
      </c>
      <c r="EA283" s="41"/>
      <c r="EB283" s="41"/>
      <c r="EC283" s="41"/>
      <c r="ED283" s="318" t="s">
        <v>447</v>
      </c>
      <c r="EE283" s="318" t="s">
        <v>443</v>
      </c>
      <c r="EF283" s="364">
        <v>11.24</v>
      </c>
    </row>
    <row r="284" ht="12.0" customHeight="1">
      <c r="S284" s="41"/>
      <c r="T284" s="60" t="s">
        <v>12</v>
      </c>
      <c r="U284" s="61" t="s">
        <v>13</v>
      </c>
      <c r="V284" s="61" t="s">
        <v>14</v>
      </c>
      <c r="W284" s="61" t="s">
        <v>15</v>
      </c>
      <c r="X284" s="61" t="s">
        <v>16</v>
      </c>
      <c r="Y284" s="61" t="s">
        <v>17</v>
      </c>
      <c r="Z284" s="382" t="s">
        <v>18</v>
      </c>
      <c r="AA284" s="382" t="s">
        <v>19</v>
      </c>
      <c r="AB284" s="61" t="s">
        <v>20</v>
      </c>
      <c r="AC284" s="61" t="s">
        <v>21</v>
      </c>
      <c r="AD284" s="61" t="s">
        <v>22</v>
      </c>
      <c r="AE284" s="382" t="s">
        <v>23</v>
      </c>
      <c r="AF284" s="61" t="s">
        <v>24</v>
      </c>
      <c r="AG284" s="61" t="s">
        <v>25</v>
      </c>
      <c r="AH284" s="383" t="s">
        <v>26</v>
      </c>
      <c r="CL284" s="360" t="str">
        <f t="shared" ref="CL284:CY284" si="54">CM218&amp;","</f>
        <v>9.85,</v>
      </c>
      <c r="CM284" s="360" t="str">
        <f t="shared" si="54"/>
        <v>23.71,</v>
      </c>
      <c r="CN284" s="360" t="str">
        <f t="shared" si="54"/>
        <v>7.63,</v>
      </c>
      <c r="CO284" s="360" t="str">
        <f t="shared" si="54"/>
        <v>20.84,</v>
      </c>
      <c r="CP284" s="360" t="str">
        <f t="shared" si="54"/>
        <v>11.59,</v>
      </c>
      <c r="CQ284" s="360" t="str">
        <f t="shared" si="54"/>
        <v>0,</v>
      </c>
      <c r="CR284" s="360" t="str">
        <f t="shared" si="54"/>
        <v>0,</v>
      </c>
      <c r="CS284" s="360" t="str">
        <f t="shared" si="54"/>
        <v>0,</v>
      </c>
      <c r="CT284" s="360" t="str">
        <f t="shared" si="54"/>
        <v>0,</v>
      </c>
      <c r="CU284" s="360" t="str">
        <f t="shared" si="54"/>
        <v>24.98,</v>
      </c>
      <c r="CV284" s="360" t="str">
        <f t="shared" si="54"/>
        <v>0.8,</v>
      </c>
      <c r="CW284" s="360" t="str">
        <f t="shared" si="54"/>
        <v>0,</v>
      </c>
      <c r="CX284" s="360" t="str">
        <f t="shared" si="54"/>
        <v>0.07,</v>
      </c>
      <c r="CY284" s="360" t="str">
        <f t="shared" si="54"/>
        <v>0.05,</v>
      </c>
      <c r="CZ284" s="360">
        <v>0.48</v>
      </c>
      <c r="DJ284" s="83">
        <v>25.0</v>
      </c>
      <c r="DL284" s="318" t="s">
        <v>448</v>
      </c>
      <c r="DM284" s="318" t="s">
        <v>449</v>
      </c>
      <c r="DN284" s="318" t="s">
        <v>450</v>
      </c>
      <c r="DO284" s="318" t="s">
        <v>451</v>
      </c>
      <c r="DP284" s="318" t="s">
        <v>276</v>
      </c>
      <c r="DQ284" s="318" t="s">
        <v>276</v>
      </c>
      <c r="DR284" s="318" t="s">
        <v>372</v>
      </c>
      <c r="DS284" s="361" t="s">
        <v>445</v>
      </c>
      <c r="DT284" s="41"/>
      <c r="DU284" s="41"/>
      <c r="DV284" s="41"/>
      <c r="DW284" s="318" t="s">
        <v>448</v>
      </c>
      <c r="DX284" s="318" t="s">
        <v>450</v>
      </c>
      <c r="DY284" s="318" t="s">
        <v>452</v>
      </c>
      <c r="DZ284" s="361">
        <v>1.96</v>
      </c>
      <c r="EA284" s="41"/>
      <c r="EB284" s="41"/>
      <c r="EC284" s="41"/>
      <c r="ED284" s="318" t="s">
        <v>453</v>
      </c>
      <c r="EE284" s="318" t="s">
        <v>450</v>
      </c>
      <c r="EF284" s="364">
        <v>21.67</v>
      </c>
    </row>
    <row r="285" ht="12.0" customHeight="1">
      <c r="S285" s="154">
        <v>1.0</v>
      </c>
      <c r="T285" s="390">
        <v>41.99</v>
      </c>
      <c r="U285" s="387">
        <v>12.59</v>
      </c>
      <c r="V285" s="388">
        <v>0.0</v>
      </c>
      <c r="W285" s="388">
        <v>0.0</v>
      </c>
      <c r="X285" s="387">
        <v>20.73</v>
      </c>
      <c r="Y285" s="387">
        <v>1.27</v>
      </c>
      <c r="Z285" s="387">
        <v>1.61</v>
      </c>
      <c r="AA285" s="388">
        <v>0.0</v>
      </c>
      <c r="AB285" s="387">
        <v>6.7</v>
      </c>
      <c r="AC285" s="388">
        <v>0.0</v>
      </c>
      <c r="AD285" s="387">
        <v>4.73</v>
      </c>
      <c r="AE285" s="388">
        <v>0.0</v>
      </c>
      <c r="AF285" s="388">
        <v>0.0</v>
      </c>
      <c r="AG285" s="387">
        <v>5.78</v>
      </c>
      <c r="AH285" s="389">
        <v>4.6</v>
      </c>
      <c r="CL285" s="360" t="str">
        <f t="shared" ref="CL285:CY285" si="55">CM219&amp;","</f>
        <v>5.71,</v>
      </c>
      <c r="CM285" s="360" t="str">
        <f t="shared" si="55"/>
        <v>20.73,</v>
      </c>
      <c r="CN285" s="360" t="str">
        <f t="shared" si="55"/>
        <v>4.44,</v>
      </c>
      <c r="CO285" s="360" t="str">
        <f t="shared" si="55"/>
        <v>29.94,</v>
      </c>
      <c r="CP285" s="360" t="str">
        <f t="shared" si="55"/>
        <v>15.65,</v>
      </c>
      <c r="CQ285" s="360" t="str">
        <f t="shared" si="55"/>
        <v>0,</v>
      </c>
      <c r="CR285" s="360" t="str">
        <f t="shared" si="55"/>
        <v>2.52,</v>
      </c>
      <c r="CS285" s="360" t="str">
        <f t="shared" si="55"/>
        <v>0,</v>
      </c>
      <c r="CT285" s="360" t="str">
        <f t="shared" si="55"/>
        <v>0,</v>
      </c>
      <c r="CU285" s="360" t="str">
        <f t="shared" si="55"/>
        <v>20.25,</v>
      </c>
      <c r="CV285" s="360" t="str">
        <f t="shared" si="55"/>
        <v>0,</v>
      </c>
      <c r="CW285" s="360" t="str">
        <f t="shared" si="55"/>
        <v>0,</v>
      </c>
      <c r="CX285" s="360" t="str">
        <f t="shared" si="55"/>
        <v>0,</v>
      </c>
      <c r="CY285" s="360" t="str">
        <f t="shared" si="55"/>
        <v>0.04,</v>
      </c>
      <c r="CZ285" s="360">
        <v>0.72</v>
      </c>
      <c r="DJ285" s="83">
        <v>26.0</v>
      </c>
      <c r="DL285" s="318" t="s">
        <v>454</v>
      </c>
      <c r="DM285" s="318" t="s">
        <v>455</v>
      </c>
      <c r="DN285" s="318" t="s">
        <v>456</v>
      </c>
      <c r="DO285" s="318" t="s">
        <v>457</v>
      </c>
      <c r="DP285" s="318" t="s">
        <v>276</v>
      </c>
      <c r="DQ285" s="318" t="s">
        <v>276</v>
      </c>
      <c r="DR285" s="318" t="s">
        <v>458</v>
      </c>
      <c r="DS285" s="361" t="s">
        <v>459</v>
      </c>
      <c r="DT285" s="41"/>
      <c r="DU285" s="41"/>
      <c r="DV285" s="41"/>
      <c r="DW285" s="318" t="s">
        <v>454</v>
      </c>
      <c r="DX285" s="318" t="s">
        <v>456</v>
      </c>
      <c r="DY285" s="318" t="s">
        <v>460</v>
      </c>
      <c r="DZ285" s="361">
        <v>4.26</v>
      </c>
      <c r="EA285" s="41"/>
      <c r="EB285" s="41"/>
      <c r="EC285" s="41"/>
      <c r="ED285" s="318" t="s">
        <v>461</v>
      </c>
      <c r="EE285" s="318" t="s">
        <v>456</v>
      </c>
      <c r="EF285" s="364">
        <v>20.93</v>
      </c>
    </row>
    <row r="286" ht="12.0" customHeight="1">
      <c r="S286" s="65">
        <v>2.0</v>
      </c>
      <c r="T286" s="76">
        <v>56.14</v>
      </c>
      <c r="U286" s="79">
        <v>9.68</v>
      </c>
      <c r="V286" s="79">
        <v>8.92</v>
      </c>
      <c r="W286" s="79">
        <v>9.19</v>
      </c>
      <c r="X286" s="79">
        <v>11.49</v>
      </c>
      <c r="Y286" s="81">
        <v>0.0</v>
      </c>
      <c r="Z286" s="79">
        <v>1.64</v>
      </c>
      <c r="AA286" s="81">
        <v>0.0</v>
      </c>
      <c r="AB286" s="79">
        <v>1.13</v>
      </c>
      <c r="AC286" s="79">
        <v>0.03</v>
      </c>
      <c r="AD286" s="79">
        <v>0.84</v>
      </c>
      <c r="AE286" s="81">
        <v>0.0</v>
      </c>
      <c r="AF286" s="81">
        <v>0.0</v>
      </c>
      <c r="AG286" s="79">
        <v>0.9</v>
      </c>
      <c r="AH286" s="82">
        <v>0.04</v>
      </c>
      <c r="CL286" s="360" t="str">
        <f t="shared" ref="CL286:CY286" si="56">CM220&amp;","</f>
        <v>62.29,</v>
      </c>
      <c r="CM286" s="360" t="str">
        <f t="shared" si="56"/>
        <v>11.35,</v>
      </c>
      <c r="CN286" s="360" t="str">
        <f t="shared" si="56"/>
        <v>1.98,</v>
      </c>
      <c r="CO286" s="360" t="str">
        <f t="shared" si="56"/>
        <v>0,</v>
      </c>
      <c r="CP286" s="360" t="str">
        <f t="shared" si="56"/>
        <v>1.64,</v>
      </c>
      <c r="CQ286" s="360" t="str">
        <f t="shared" si="56"/>
        <v>22.22,</v>
      </c>
      <c r="CR286" s="360" t="str">
        <f t="shared" si="56"/>
        <v>0,</v>
      </c>
      <c r="CS286" s="360" t="str">
        <f t="shared" si="56"/>
        <v>0,</v>
      </c>
      <c r="CT286" s="360" t="str">
        <f t="shared" si="56"/>
        <v>0,</v>
      </c>
      <c r="CU286" s="360" t="str">
        <f t="shared" si="56"/>
        <v>0,</v>
      </c>
      <c r="CV286" s="360" t="str">
        <f t="shared" si="56"/>
        <v>0,</v>
      </c>
      <c r="CW286" s="360" t="str">
        <f t="shared" si="56"/>
        <v>0,</v>
      </c>
      <c r="CX286" s="360" t="str">
        <f t="shared" si="56"/>
        <v>0,</v>
      </c>
      <c r="CY286" s="360" t="str">
        <f t="shared" si="56"/>
        <v>0,</v>
      </c>
      <c r="CZ286" s="360">
        <v>0.52</v>
      </c>
      <c r="DJ286" s="83">
        <v>27.0</v>
      </c>
      <c r="DL286" s="318" t="s">
        <v>462</v>
      </c>
      <c r="DM286" s="318" t="s">
        <v>463</v>
      </c>
      <c r="DN286" s="318" t="s">
        <v>464</v>
      </c>
      <c r="DO286" s="318" t="s">
        <v>276</v>
      </c>
      <c r="DP286" s="318" t="s">
        <v>276</v>
      </c>
      <c r="DQ286" s="318" t="s">
        <v>276</v>
      </c>
      <c r="DR286" s="318" t="s">
        <v>430</v>
      </c>
      <c r="DS286" s="361" t="s">
        <v>465</v>
      </c>
      <c r="DT286" s="41"/>
      <c r="DU286" s="41"/>
      <c r="DV286" s="41"/>
      <c r="DW286" s="318" t="s">
        <v>462</v>
      </c>
      <c r="DX286" s="318" t="s">
        <v>464</v>
      </c>
      <c r="DY286" s="318" t="s">
        <v>466</v>
      </c>
      <c r="DZ286" s="361">
        <v>0.0</v>
      </c>
      <c r="EA286" s="41"/>
      <c r="EB286" s="41"/>
      <c r="EC286" s="41"/>
      <c r="ED286" s="318" t="s">
        <v>462</v>
      </c>
      <c r="EE286" s="318" t="s">
        <v>464</v>
      </c>
      <c r="EF286" s="364">
        <v>24.240000000000002</v>
      </c>
    </row>
    <row r="287" ht="12.0" customHeight="1">
      <c r="S287" s="65">
        <v>3.0</v>
      </c>
      <c r="T287" s="76">
        <v>54.98</v>
      </c>
      <c r="U287" s="79">
        <v>7.94</v>
      </c>
      <c r="V287" s="79">
        <v>10.84</v>
      </c>
      <c r="W287" s="79">
        <v>10.5</v>
      </c>
      <c r="X287" s="79">
        <v>7.99</v>
      </c>
      <c r="Y287" s="79">
        <v>0.63</v>
      </c>
      <c r="Z287" s="79">
        <v>4.65</v>
      </c>
      <c r="AA287" s="81">
        <v>0.0</v>
      </c>
      <c r="AB287" s="79">
        <v>0.24</v>
      </c>
      <c r="AC287" s="81">
        <v>0.0</v>
      </c>
      <c r="AD287" s="79">
        <v>0.77</v>
      </c>
      <c r="AE287" s="81">
        <v>0.0</v>
      </c>
      <c r="AF287" s="81">
        <v>0.0</v>
      </c>
      <c r="AG287" s="79">
        <v>0.41</v>
      </c>
      <c r="AH287" s="82">
        <v>1.05</v>
      </c>
      <c r="CL287" s="360" t="str">
        <f t="shared" ref="CL287:CY287" si="57">CM221&amp;","</f>
        <v>47,</v>
      </c>
      <c r="CM287" s="360" t="str">
        <f t="shared" si="57"/>
        <v>22.39,</v>
      </c>
      <c r="CN287" s="360" t="str">
        <f t="shared" si="57"/>
        <v>3.83,</v>
      </c>
      <c r="CO287" s="360" t="str">
        <f t="shared" si="57"/>
        <v>0,</v>
      </c>
      <c r="CP287" s="360" t="str">
        <f t="shared" si="57"/>
        <v>1.57,</v>
      </c>
      <c r="CQ287" s="360" t="str">
        <f t="shared" si="57"/>
        <v>24.16,</v>
      </c>
      <c r="CR287" s="360" t="str">
        <f t="shared" si="57"/>
        <v>0,</v>
      </c>
      <c r="CS287" s="360" t="str">
        <f t="shared" si="57"/>
        <v>0,</v>
      </c>
      <c r="CT287" s="360" t="str">
        <f t="shared" si="57"/>
        <v>0.05,</v>
      </c>
      <c r="CU287" s="360" t="str">
        <f t="shared" si="57"/>
        <v>0,</v>
      </c>
      <c r="CV287" s="360" t="str">
        <f t="shared" si="57"/>
        <v>0,</v>
      </c>
      <c r="CW287" s="360" t="str">
        <f t="shared" si="57"/>
        <v>0,</v>
      </c>
      <c r="CX287" s="360" t="str">
        <f t="shared" si="57"/>
        <v>0,</v>
      </c>
      <c r="CY287" s="360" t="str">
        <f t="shared" si="57"/>
        <v>0,</v>
      </c>
      <c r="CZ287" s="360">
        <v>1.0</v>
      </c>
      <c r="DJ287" s="83">
        <v>28.0</v>
      </c>
      <c r="DL287" s="318" t="s">
        <v>467</v>
      </c>
      <c r="DM287" s="318" t="s">
        <v>468</v>
      </c>
      <c r="DN287" s="318" t="s">
        <v>469</v>
      </c>
      <c r="DO287" s="318" t="s">
        <v>470</v>
      </c>
      <c r="DP287" s="318" t="s">
        <v>276</v>
      </c>
      <c r="DQ287" s="318" t="s">
        <v>276</v>
      </c>
      <c r="DR287" s="318" t="s">
        <v>286</v>
      </c>
      <c r="DS287" s="361" t="s">
        <v>471</v>
      </c>
      <c r="DT287" s="41"/>
      <c r="DU287" s="41"/>
      <c r="DV287" s="41"/>
      <c r="DW287" s="318" t="s">
        <v>467</v>
      </c>
      <c r="DX287" s="318" t="s">
        <v>469</v>
      </c>
      <c r="DY287" s="318" t="s">
        <v>472</v>
      </c>
      <c r="DZ287" s="361">
        <v>2.52</v>
      </c>
      <c r="EA287" s="41"/>
      <c r="EB287" s="41"/>
      <c r="EC287" s="41"/>
      <c r="ED287" s="318" t="s">
        <v>473</v>
      </c>
      <c r="EE287" s="318" t="s">
        <v>469</v>
      </c>
      <c r="EF287" s="364">
        <v>21.49</v>
      </c>
    </row>
    <row r="288" ht="12.0" customHeight="1">
      <c r="S288" s="65">
        <v>4.0</v>
      </c>
      <c r="T288" s="76">
        <v>56.86</v>
      </c>
      <c r="U288" s="79">
        <v>17.18</v>
      </c>
      <c r="V288" s="79">
        <v>1.31</v>
      </c>
      <c r="W288" s="79">
        <v>14.95</v>
      </c>
      <c r="X288" s="79">
        <v>3.68</v>
      </c>
      <c r="Y288" s="79">
        <v>0.12</v>
      </c>
      <c r="Z288" s="79">
        <v>2.75</v>
      </c>
      <c r="AA288" s="81">
        <v>0.0</v>
      </c>
      <c r="AB288" s="81">
        <v>0.0</v>
      </c>
      <c r="AC288" s="79">
        <v>0.78</v>
      </c>
      <c r="AD288" s="79">
        <v>0.74</v>
      </c>
      <c r="AE288" s="81">
        <v>0.0</v>
      </c>
      <c r="AF288" s="81">
        <v>0.0</v>
      </c>
      <c r="AG288" s="79">
        <v>0.01</v>
      </c>
      <c r="AH288" s="82">
        <v>1.62</v>
      </c>
      <c r="CL288" s="360" t="str">
        <f t="shared" ref="CL288:CY288" si="58">CM222&amp;","</f>
        <v>57.05,</v>
      </c>
      <c r="CM288" s="360" t="str">
        <f t="shared" si="58"/>
        <v>12.89,</v>
      </c>
      <c r="CN288" s="360" t="str">
        <f t="shared" si="58"/>
        <v>3.61,</v>
      </c>
      <c r="CO288" s="360" t="str">
        <f t="shared" si="58"/>
        <v>0,</v>
      </c>
      <c r="CP288" s="360" t="str">
        <f t="shared" si="58"/>
        <v>0,</v>
      </c>
      <c r="CQ288" s="360" t="str">
        <f t="shared" si="58"/>
        <v>26.05,</v>
      </c>
      <c r="CR288" s="360" t="str">
        <f t="shared" si="58"/>
        <v>0,</v>
      </c>
      <c r="CS288" s="360" t="str">
        <f t="shared" si="58"/>
        <v>0,</v>
      </c>
      <c r="CT288" s="360" t="str">
        <f t="shared" si="58"/>
        <v>0,</v>
      </c>
      <c r="CU288" s="360" t="str">
        <f t="shared" si="58"/>
        <v>0,</v>
      </c>
      <c r="CV288" s="360" t="str">
        <f t="shared" si="58"/>
        <v>0,</v>
      </c>
      <c r="CW288" s="360" t="str">
        <f t="shared" si="58"/>
        <v>0,</v>
      </c>
      <c r="CX288" s="360" t="str">
        <f t="shared" si="58"/>
        <v>0,</v>
      </c>
      <c r="CY288" s="360" t="str">
        <f t="shared" si="58"/>
        <v>0,</v>
      </c>
      <c r="CZ288" s="360">
        <v>0.4</v>
      </c>
      <c r="DJ288" s="83">
        <v>29.0</v>
      </c>
      <c r="DL288" s="318" t="s">
        <v>474</v>
      </c>
      <c r="DM288" s="318" t="s">
        <v>475</v>
      </c>
      <c r="DN288" s="318" t="s">
        <v>476</v>
      </c>
      <c r="DO288" s="318" t="s">
        <v>276</v>
      </c>
      <c r="DP288" s="318" t="s">
        <v>276</v>
      </c>
      <c r="DQ288" s="318" t="s">
        <v>276</v>
      </c>
      <c r="DR288" s="318" t="s">
        <v>276</v>
      </c>
      <c r="DS288" s="361" t="s">
        <v>477</v>
      </c>
      <c r="DT288" s="41"/>
      <c r="DU288" s="41"/>
      <c r="DV288" s="41"/>
      <c r="DW288" s="318" t="s">
        <v>474</v>
      </c>
      <c r="DX288" s="318" t="s">
        <v>476</v>
      </c>
      <c r="DY288" s="318" t="s">
        <v>478</v>
      </c>
      <c r="DZ288" s="361">
        <v>0.0</v>
      </c>
      <c r="EA288" s="41"/>
      <c r="EB288" s="41"/>
      <c r="EC288" s="41"/>
      <c r="ED288" s="318" t="s">
        <v>474</v>
      </c>
      <c r="EE288" s="318" t="s">
        <v>476</v>
      </c>
      <c r="EF288" s="364">
        <v>11.87</v>
      </c>
    </row>
    <row r="289" ht="12.0" customHeight="1">
      <c r="S289" s="65">
        <v>5.0</v>
      </c>
      <c r="T289" s="90">
        <v>22.9</v>
      </c>
      <c r="U289" s="392">
        <v>23.81</v>
      </c>
      <c r="V289" s="79">
        <v>14.6</v>
      </c>
      <c r="W289" s="79">
        <v>2.72</v>
      </c>
      <c r="X289" s="79">
        <v>2.15</v>
      </c>
      <c r="Y289" s="79">
        <v>3.43</v>
      </c>
      <c r="Z289" s="79">
        <v>21.64</v>
      </c>
      <c r="AA289" s="81">
        <v>0.0</v>
      </c>
      <c r="AB289" s="79">
        <v>0.83</v>
      </c>
      <c r="AC289" s="79">
        <v>0.17</v>
      </c>
      <c r="AD289" s="79">
        <v>3.99</v>
      </c>
      <c r="AE289" s="81">
        <v>0.0</v>
      </c>
      <c r="AF289" s="81">
        <v>0.0</v>
      </c>
      <c r="AG289" s="79">
        <v>0.46</v>
      </c>
      <c r="AH289" s="82">
        <v>3.3</v>
      </c>
      <c r="CL289" s="360" t="str">
        <f t="shared" ref="CL289:CY289" si="59">CM223&amp;","</f>
        <v>47.47,</v>
      </c>
      <c r="CM289" s="360" t="str">
        <f t="shared" si="59"/>
        <v>19.91,</v>
      </c>
      <c r="CN289" s="360" t="str">
        <f t="shared" si="59"/>
        <v>1.09,</v>
      </c>
      <c r="CO289" s="360" t="str">
        <f t="shared" si="59"/>
        <v>0,</v>
      </c>
      <c r="CP289" s="360" t="str">
        <f t="shared" si="59"/>
        <v>3.55,</v>
      </c>
      <c r="CQ289" s="360" t="str">
        <f t="shared" si="59"/>
        <v>27,</v>
      </c>
      <c r="CR289" s="360" t="str">
        <f t="shared" si="59"/>
        <v>0,</v>
      </c>
      <c r="CS289" s="360" t="str">
        <f t="shared" si="59"/>
        <v>0,</v>
      </c>
      <c r="CT289" s="360" t="str">
        <f t="shared" si="59"/>
        <v>0,</v>
      </c>
      <c r="CU289" s="360" t="str">
        <f t="shared" si="59"/>
        <v>0,</v>
      </c>
      <c r="CV289" s="360" t="str">
        <f t="shared" si="59"/>
        <v>0,</v>
      </c>
      <c r="CW289" s="360" t="str">
        <f t="shared" si="59"/>
        <v>0,</v>
      </c>
      <c r="CX289" s="360" t="str">
        <f t="shared" si="59"/>
        <v>0,</v>
      </c>
      <c r="CY289" s="360" t="str">
        <f t="shared" si="59"/>
        <v>0,</v>
      </c>
      <c r="CZ289" s="360">
        <v>0.98</v>
      </c>
      <c r="DJ289" s="83">
        <v>30.0</v>
      </c>
      <c r="DL289" s="318" t="s">
        <v>479</v>
      </c>
      <c r="DM289" s="318" t="s">
        <v>480</v>
      </c>
      <c r="DN289" s="318" t="s">
        <v>481</v>
      </c>
      <c r="DO289" s="318" t="s">
        <v>276</v>
      </c>
      <c r="DP289" s="318" t="s">
        <v>276</v>
      </c>
      <c r="DQ289" s="318" t="s">
        <v>276</v>
      </c>
      <c r="DR289" s="318" t="s">
        <v>276</v>
      </c>
      <c r="DS289" s="361" t="s">
        <v>387</v>
      </c>
      <c r="DT289" s="41"/>
      <c r="DU289" s="41"/>
      <c r="DV289" s="41"/>
      <c r="DW289" s="318" t="s">
        <v>479</v>
      </c>
      <c r="DX289" s="318" t="s">
        <v>481</v>
      </c>
      <c r="DY289" s="318" t="s">
        <v>482</v>
      </c>
      <c r="DZ289" s="361">
        <v>0.0</v>
      </c>
      <c r="EA289" s="41"/>
      <c r="EB289" s="41"/>
      <c r="EC289" s="41"/>
      <c r="ED289" s="318" t="s">
        <v>479</v>
      </c>
      <c r="EE289" s="318" t="s">
        <v>481</v>
      </c>
      <c r="EF289" s="364">
        <v>23.39</v>
      </c>
    </row>
    <row r="290" ht="12.0" customHeight="1">
      <c r="S290" s="65">
        <v>6.0</v>
      </c>
      <c r="T290" s="76">
        <v>27.32</v>
      </c>
      <c r="U290" s="79">
        <v>26.11</v>
      </c>
      <c r="V290" s="79">
        <v>21.01</v>
      </c>
      <c r="W290" s="79">
        <v>12.27</v>
      </c>
      <c r="X290" s="79">
        <v>2.82</v>
      </c>
      <c r="Y290" s="79">
        <v>1.1</v>
      </c>
      <c r="Z290" s="79">
        <v>3.37</v>
      </c>
      <c r="AA290" s="81">
        <v>0.0</v>
      </c>
      <c r="AB290" s="79">
        <v>4.32</v>
      </c>
      <c r="AC290" s="81">
        <v>0.0</v>
      </c>
      <c r="AD290" s="79">
        <v>0.49</v>
      </c>
      <c r="AE290" s="81">
        <v>0.0</v>
      </c>
      <c r="AF290" s="81">
        <v>0.0</v>
      </c>
      <c r="AG290" s="79">
        <v>0.11</v>
      </c>
      <c r="AH290" s="82">
        <v>1.08</v>
      </c>
      <c r="CL290" s="360" t="str">
        <f t="shared" ref="CL290:CY290" si="60">CM224&amp;","</f>
        <v>48.47,</v>
      </c>
      <c r="CM290" s="360" t="str">
        <f t="shared" si="60"/>
        <v>12.86,</v>
      </c>
      <c r="CN290" s="360" t="str">
        <f t="shared" si="60"/>
        <v>4.02,</v>
      </c>
      <c r="CO290" s="360" t="str">
        <f t="shared" si="60"/>
        <v>1.26,</v>
      </c>
      <c r="CP290" s="360" t="str">
        <f t="shared" si="60"/>
        <v>2.36,</v>
      </c>
      <c r="CQ290" s="360" t="str">
        <f t="shared" si="60"/>
        <v>30.8,</v>
      </c>
      <c r="CR290" s="360" t="str">
        <f t="shared" si="60"/>
        <v>0,</v>
      </c>
      <c r="CS290" s="360" t="str">
        <f t="shared" si="60"/>
        <v>0,</v>
      </c>
      <c r="CT290" s="360" t="str">
        <f t="shared" si="60"/>
        <v>0,</v>
      </c>
      <c r="CU290" s="360" t="str">
        <f t="shared" si="60"/>
        <v>0,</v>
      </c>
      <c r="CV290" s="360" t="str">
        <f t="shared" si="60"/>
        <v>0,</v>
      </c>
      <c r="CW290" s="360" t="str">
        <f t="shared" si="60"/>
        <v>0,</v>
      </c>
      <c r="CX290" s="360" t="str">
        <f t="shared" si="60"/>
        <v>0,</v>
      </c>
      <c r="CY290" s="360" t="str">
        <f t="shared" si="60"/>
        <v>0,</v>
      </c>
      <c r="CZ290" s="360">
        <v>0.23</v>
      </c>
      <c r="DJ290" s="83">
        <v>31.0</v>
      </c>
      <c r="DL290" s="318" t="s">
        <v>483</v>
      </c>
      <c r="DM290" s="318" t="s">
        <v>484</v>
      </c>
      <c r="DN290" s="318" t="s">
        <v>485</v>
      </c>
      <c r="DO290" s="318" t="s">
        <v>276</v>
      </c>
      <c r="DP290" s="318" t="s">
        <v>276</v>
      </c>
      <c r="DQ290" s="318" t="s">
        <v>276</v>
      </c>
      <c r="DR290" s="318" t="s">
        <v>276</v>
      </c>
      <c r="DS290" s="361" t="s">
        <v>345</v>
      </c>
      <c r="DT290" s="41"/>
      <c r="DU290" s="41"/>
      <c r="DV290" s="41"/>
      <c r="DW290" s="318" t="s">
        <v>483</v>
      </c>
      <c r="DX290" s="318" t="s">
        <v>485</v>
      </c>
      <c r="DY290" s="318" t="s">
        <v>486</v>
      </c>
      <c r="DZ290" s="361">
        <v>0.0</v>
      </c>
      <c r="EA290" s="41"/>
      <c r="EB290" s="41"/>
      <c r="EC290" s="41"/>
      <c r="ED290" s="318" t="s">
        <v>483</v>
      </c>
      <c r="EE290" s="318" t="s">
        <v>485</v>
      </c>
      <c r="EF290" s="364">
        <v>13.290000000000001</v>
      </c>
    </row>
    <row r="291" ht="12.0" customHeight="1">
      <c r="S291" s="65">
        <v>7.0</v>
      </c>
      <c r="T291" s="76">
        <v>56.06</v>
      </c>
      <c r="U291" s="79">
        <v>10.7</v>
      </c>
      <c r="V291" s="79">
        <v>7.15</v>
      </c>
      <c r="W291" s="79">
        <v>13.2</v>
      </c>
      <c r="X291" s="79">
        <v>6.72</v>
      </c>
      <c r="Y291" s="81">
        <v>0.0</v>
      </c>
      <c r="Z291" s="79">
        <v>3.84</v>
      </c>
      <c r="AA291" s="81">
        <v>0.0</v>
      </c>
      <c r="AB291" s="81">
        <v>0.0</v>
      </c>
      <c r="AC291" s="79">
        <v>1.23</v>
      </c>
      <c r="AD291" s="79">
        <v>0.44</v>
      </c>
      <c r="AE291" s="81">
        <v>0.0</v>
      </c>
      <c r="AF291" s="81">
        <v>0.0</v>
      </c>
      <c r="AG291" s="79">
        <v>0.12</v>
      </c>
      <c r="AH291" s="82">
        <v>0.54</v>
      </c>
      <c r="CL291" s="360" t="str">
        <f t="shared" ref="CL291:CY291" si="61">CM225&amp;","</f>
        <v>75.99,</v>
      </c>
      <c r="CM291" s="360" t="str">
        <f t="shared" si="61"/>
        <v>0.01,</v>
      </c>
      <c r="CN291" s="360" t="str">
        <f t="shared" si="61"/>
        <v>0,</v>
      </c>
      <c r="CO291" s="360" t="str">
        <f t="shared" si="61"/>
        <v>0,</v>
      </c>
      <c r="CP291" s="360" t="str">
        <f t="shared" si="61"/>
        <v>3.59,</v>
      </c>
      <c r="CQ291" s="360" t="str">
        <f t="shared" si="61"/>
        <v>16.65,</v>
      </c>
      <c r="CR291" s="360" t="str">
        <f t="shared" si="61"/>
        <v>0,</v>
      </c>
      <c r="CS291" s="360" t="str">
        <f t="shared" si="61"/>
        <v>0,</v>
      </c>
      <c r="CT291" s="360" t="str">
        <f t="shared" si="61"/>
        <v>2.08,</v>
      </c>
      <c r="CU291" s="360" t="str">
        <f t="shared" si="61"/>
        <v>0,</v>
      </c>
      <c r="CV291" s="360" t="str">
        <f t="shared" si="61"/>
        <v>0,</v>
      </c>
      <c r="CW291" s="360" t="str">
        <f t="shared" si="61"/>
        <v>0,</v>
      </c>
      <c r="CX291" s="360" t="str">
        <f t="shared" si="61"/>
        <v>0,</v>
      </c>
      <c r="CY291" s="360" t="str">
        <f t="shared" si="61"/>
        <v>0,</v>
      </c>
      <c r="CZ291" s="360">
        <v>1.68</v>
      </c>
      <c r="DJ291" s="83">
        <v>32.0</v>
      </c>
      <c r="DL291" s="318" t="s">
        <v>487</v>
      </c>
      <c r="DM291" s="318" t="s">
        <v>488</v>
      </c>
      <c r="DN291" s="318" t="s">
        <v>489</v>
      </c>
      <c r="DO291" s="318" t="s">
        <v>276</v>
      </c>
      <c r="DP291" s="318" t="s">
        <v>276</v>
      </c>
      <c r="DQ291" s="318" t="s">
        <v>276</v>
      </c>
      <c r="DR291" s="318" t="s">
        <v>276</v>
      </c>
      <c r="DS291" s="361" t="s">
        <v>490</v>
      </c>
      <c r="DT291" s="41"/>
      <c r="DU291" s="41"/>
      <c r="DV291" s="41"/>
      <c r="DW291" s="318" t="s">
        <v>487</v>
      </c>
      <c r="DX291" s="318" t="s">
        <v>489</v>
      </c>
      <c r="DY291" s="318" t="s">
        <v>491</v>
      </c>
      <c r="DZ291" s="361">
        <v>0.0</v>
      </c>
      <c r="EA291" s="41"/>
      <c r="EB291" s="41"/>
      <c r="EC291" s="41"/>
      <c r="ED291" s="318" t="s">
        <v>487</v>
      </c>
      <c r="EE291" s="318" t="s">
        <v>489</v>
      </c>
      <c r="EF291" s="364">
        <v>20.89</v>
      </c>
    </row>
    <row r="292" ht="12.0" customHeight="1">
      <c r="S292" s="65">
        <v>8.0</v>
      </c>
      <c r="T292" s="76">
        <v>55.18</v>
      </c>
      <c r="U292" s="79">
        <v>9.27</v>
      </c>
      <c r="V292" s="79">
        <v>6.05</v>
      </c>
      <c r="W292" s="79">
        <v>13.89</v>
      </c>
      <c r="X292" s="79">
        <v>10.72</v>
      </c>
      <c r="Y292" s="79">
        <v>0.24</v>
      </c>
      <c r="Z292" s="79">
        <v>2.99</v>
      </c>
      <c r="AA292" s="81">
        <v>0.0</v>
      </c>
      <c r="AB292" s="79">
        <v>0.47</v>
      </c>
      <c r="AC292" s="79">
        <v>0.67</v>
      </c>
      <c r="AD292" s="79">
        <v>0.52</v>
      </c>
      <c r="AE292" s="81">
        <v>0.0</v>
      </c>
      <c r="AF292" s="81">
        <v>0.0</v>
      </c>
      <c r="AG292" s="79">
        <v>0.0</v>
      </c>
      <c r="AH292" s="82">
        <v>0.0</v>
      </c>
      <c r="CL292" s="360" t="str">
        <f t="shared" ref="CL292:CY292" si="62">CM226&amp;","</f>
        <v>50.9,</v>
      </c>
      <c r="CM292" s="360" t="str">
        <f t="shared" si="62"/>
        <v>10.96,</v>
      </c>
      <c r="CN292" s="360" t="str">
        <f t="shared" si="62"/>
        <v>6.54,</v>
      </c>
      <c r="CO292" s="360" t="str">
        <f t="shared" si="62"/>
        <v>0,</v>
      </c>
      <c r="CP292" s="360" t="str">
        <f t="shared" si="62"/>
        <v>0.41,</v>
      </c>
      <c r="CQ292" s="360" t="str">
        <f t="shared" si="62"/>
        <v>30.79,</v>
      </c>
      <c r="CR292" s="360" t="str">
        <f t="shared" si="62"/>
        <v>0,</v>
      </c>
      <c r="CS292" s="360" t="str">
        <f t="shared" si="62"/>
        <v>0,</v>
      </c>
      <c r="CT292" s="360" t="str">
        <f t="shared" si="62"/>
        <v>0,</v>
      </c>
      <c r="CU292" s="360" t="str">
        <f t="shared" si="62"/>
        <v>0,</v>
      </c>
      <c r="CV292" s="360" t="str">
        <f t="shared" si="62"/>
        <v>0,</v>
      </c>
      <c r="CW292" s="360" t="str">
        <f t="shared" si="62"/>
        <v>0,</v>
      </c>
      <c r="CX292" s="360" t="str">
        <f t="shared" si="62"/>
        <v>0,</v>
      </c>
      <c r="CY292" s="360" t="str">
        <f t="shared" si="62"/>
        <v>0,</v>
      </c>
      <c r="CZ292" s="360">
        <v>0.4</v>
      </c>
      <c r="DJ292" s="83">
        <v>33.0</v>
      </c>
      <c r="DL292" s="318" t="s">
        <v>492</v>
      </c>
      <c r="DM292" s="318" t="s">
        <v>493</v>
      </c>
      <c r="DN292" s="318" t="s">
        <v>494</v>
      </c>
      <c r="DO292" s="318" t="s">
        <v>276</v>
      </c>
      <c r="DP292" s="318" t="s">
        <v>276</v>
      </c>
      <c r="DQ292" s="318" t="s">
        <v>276</v>
      </c>
      <c r="DR292" s="318" t="s">
        <v>276</v>
      </c>
      <c r="DS292" s="361" t="s">
        <v>352</v>
      </c>
      <c r="DT292" s="41"/>
      <c r="DU292" s="41"/>
      <c r="DV292" s="41"/>
      <c r="DW292" s="318" t="s">
        <v>492</v>
      </c>
      <c r="DX292" s="318" t="s">
        <v>494</v>
      </c>
      <c r="DY292" s="318" t="s">
        <v>495</v>
      </c>
      <c r="DZ292" s="361">
        <v>0.0</v>
      </c>
      <c r="EA292" s="41"/>
      <c r="EB292" s="41"/>
      <c r="EC292" s="41"/>
      <c r="ED292" s="318" t="s">
        <v>492</v>
      </c>
      <c r="EE292" s="318" t="s">
        <v>494</v>
      </c>
      <c r="EF292" s="364">
        <v>13.09</v>
      </c>
    </row>
    <row r="293" ht="12.0" customHeight="1">
      <c r="S293" s="65">
        <v>9.0</v>
      </c>
      <c r="T293" s="76">
        <v>46.91</v>
      </c>
      <c r="U293" s="79">
        <v>12.95</v>
      </c>
      <c r="V293" s="79">
        <v>5.0</v>
      </c>
      <c r="W293" s="79">
        <v>13.27</v>
      </c>
      <c r="X293" s="79">
        <v>18.36</v>
      </c>
      <c r="Y293" s="79">
        <v>0.16</v>
      </c>
      <c r="Z293" s="79">
        <v>1.33</v>
      </c>
      <c r="AA293" s="81">
        <v>0.0</v>
      </c>
      <c r="AB293" s="79">
        <v>0.79</v>
      </c>
      <c r="AC293" s="81">
        <v>0.0</v>
      </c>
      <c r="AD293" s="79">
        <v>0.45</v>
      </c>
      <c r="AE293" s="81">
        <v>0.0</v>
      </c>
      <c r="AF293" s="81">
        <v>0.0</v>
      </c>
      <c r="AG293" s="81">
        <v>0.0</v>
      </c>
      <c r="AH293" s="82">
        <v>0.78</v>
      </c>
      <c r="CL293" s="360" t="str">
        <f t="shared" ref="CL293:CY293" si="63">CM227&amp;","</f>
        <v>46.97,</v>
      </c>
      <c r="CM293" s="360" t="str">
        <f t="shared" si="63"/>
        <v>22.37,</v>
      </c>
      <c r="CN293" s="360" t="str">
        <f t="shared" si="63"/>
        <v>2.24,</v>
      </c>
      <c r="CO293" s="360" t="str">
        <f t="shared" si="63"/>
        <v>0,</v>
      </c>
      <c r="CP293" s="360" t="str">
        <f t="shared" si="63"/>
        <v>0.12,</v>
      </c>
      <c r="CQ293" s="360" t="str">
        <f t="shared" si="63"/>
        <v>28.14,</v>
      </c>
      <c r="CR293" s="360" t="str">
        <f t="shared" si="63"/>
        <v>0,</v>
      </c>
      <c r="CS293" s="360" t="str">
        <f t="shared" si="63"/>
        <v>0.02,</v>
      </c>
      <c r="CT293" s="360" t="str">
        <f t="shared" si="63"/>
        <v>0,</v>
      </c>
      <c r="CU293" s="360" t="str">
        <f t="shared" si="63"/>
        <v>0,</v>
      </c>
      <c r="CV293" s="360" t="str">
        <f t="shared" si="63"/>
        <v>0,</v>
      </c>
      <c r="CW293" s="360" t="str">
        <f t="shared" si="63"/>
        <v>0,</v>
      </c>
      <c r="CX293" s="360" t="str">
        <f t="shared" si="63"/>
        <v>0,</v>
      </c>
      <c r="CY293" s="360" t="str">
        <f t="shared" si="63"/>
        <v>0,</v>
      </c>
      <c r="CZ293" s="360">
        <v>0.14</v>
      </c>
      <c r="DJ293" s="83">
        <v>34.0</v>
      </c>
      <c r="DL293" s="318" t="s">
        <v>496</v>
      </c>
      <c r="DM293" s="318" t="s">
        <v>301</v>
      </c>
      <c r="DN293" s="318" t="s">
        <v>497</v>
      </c>
      <c r="DO293" s="318" t="s">
        <v>276</v>
      </c>
      <c r="DP293" s="318" t="s">
        <v>276</v>
      </c>
      <c r="DQ293" s="318" t="s">
        <v>276</v>
      </c>
      <c r="DR293" s="318" t="s">
        <v>276</v>
      </c>
      <c r="DS293" s="361" t="s">
        <v>498</v>
      </c>
      <c r="DT293" s="41"/>
      <c r="DU293" s="41"/>
      <c r="DV293" s="41"/>
      <c r="DW293" s="318" t="s">
        <v>496</v>
      </c>
      <c r="DX293" s="318" t="s">
        <v>497</v>
      </c>
      <c r="DY293" s="318" t="s">
        <v>499</v>
      </c>
      <c r="DZ293" s="361">
        <v>0.0</v>
      </c>
      <c r="EA293" s="41"/>
      <c r="EB293" s="41"/>
      <c r="EC293" s="41"/>
      <c r="ED293" s="318" t="s">
        <v>496</v>
      </c>
      <c r="EE293" s="318" t="s">
        <v>497</v>
      </c>
      <c r="EF293" s="364">
        <v>1.69</v>
      </c>
    </row>
    <row r="294" ht="12.0" customHeight="1">
      <c r="S294" s="65">
        <v>10.0</v>
      </c>
      <c r="T294" s="76">
        <v>40.59</v>
      </c>
      <c r="U294" s="79">
        <v>15.53</v>
      </c>
      <c r="V294" s="79">
        <v>3.26</v>
      </c>
      <c r="W294" s="79">
        <v>16.34</v>
      </c>
      <c r="X294" s="79">
        <v>16.85</v>
      </c>
      <c r="Y294" s="79">
        <v>0.47</v>
      </c>
      <c r="Z294" s="79">
        <v>5.47</v>
      </c>
      <c r="AA294" s="81">
        <v>0.0</v>
      </c>
      <c r="AB294" s="81">
        <v>0.0</v>
      </c>
      <c r="AC294" s="79">
        <v>0.03</v>
      </c>
      <c r="AD294" s="79">
        <v>0.95</v>
      </c>
      <c r="AE294" s="81">
        <v>0.0</v>
      </c>
      <c r="AF294" s="81">
        <v>0.0</v>
      </c>
      <c r="AG294" s="79">
        <v>0.11</v>
      </c>
      <c r="AH294" s="82">
        <v>0.4</v>
      </c>
      <c r="AI294" s="4"/>
      <c r="AJ294" s="4"/>
      <c r="CM294" s="360" t="str">
        <f t="shared" ref="CM294:CZ294" si="64">CM228&amp;","</f>
        <v>37.71,</v>
      </c>
      <c r="CN294" s="360" t="str">
        <f t="shared" si="64"/>
        <v>10.7,</v>
      </c>
      <c r="CO294" s="360" t="str">
        <f t="shared" si="64"/>
        <v>19.45,</v>
      </c>
      <c r="CP294" s="360" t="str">
        <f t="shared" si="64"/>
        <v>0,</v>
      </c>
      <c r="CQ294" s="360" t="str">
        <f t="shared" si="64"/>
        <v>0.41,</v>
      </c>
      <c r="CR294" s="360" t="str">
        <f t="shared" si="64"/>
        <v>31.09,</v>
      </c>
      <c r="CS294" s="360" t="str">
        <f t="shared" si="64"/>
        <v>0,</v>
      </c>
      <c r="CT294" s="360" t="str">
        <f t="shared" si="64"/>
        <v>0,</v>
      </c>
      <c r="CU294" s="360" t="str">
        <f t="shared" si="64"/>
        <v>0,</v>
      </c>
      <c r="CV294" s="360" t="str">
        <f t="shared" si="64"/>
        <v>0,</v>
      </c>
      <c r="CW294" s="360" t="str">
        <f t="shared" si="64"/>
        <v>0,</v>
      </c>
      <c r="CX294" s="360" t="str">
        <f t="shared" si="64"/>
        <v>0,</v>
      </c>
      <c r="CY294" s="360" t="str">
        <f t="shared" si="64"/>
        <v>0,</v>
      </c>
      <c r="CZ294" s="360" t="str">
        <f t="shared" si="64"/>
        <v>0,</v>
      </c>
      <c r="DA294" s="360">
        <v>0.64</v>
      </c>
      <c r="DK294" s="83">
        <v>35.0</v>
      </c>
      <c r="DM294" s="318" t="s">
        <v>500</v>
      </c>
      <c r="DN294" s="318" t="s">
        <v>501</v>
      </c>
      <c r="DO294" s="318" t="s">
        <v>502</v>
      </c>
      <c r="DP294" s="318" t="s">
        <v>276</v>
      </c>
      <c r="DQ294" s="318" t="s">
        <v>276</v>
      </c>
      <c r="DR294" s="318" t="s">
        <v>276</v>
      </c>
      <c r="DS294" s="318" t="s">
        <v>276</v>
      </c>
      <c r="DT294" s="361" t="s">
        <v>345</v>
      </c>
      <c r="DU294" s="41"/>
      <c r="DV294" s="41"/>
      <c r="DW294" s="41"/>
      <c r="DX294" s="318" t="s">
        <v>500</v>
      </c>
      <c r="DY294" s="318" t="s">
        <v>502</v>
      </c>
      <c r="DZ294" s="318" t="s">
        <v>327</v>
      </c>
      <c r="EA294" s="361">
        <v>0.0</v>
      </c>
      <c r="EB294" s="41"/>
      <c r="EC294" s="41"/>
      <c r="ED294" s="41"/>
      <c r="EE294" s="318" t="s">
        <v>500</v>
      </c>
      <c r="EF294" s="318" t="s">
        <v>502</v>
      </c>
      <c r="EG294" s="364">
        <v>11.360000000000001</v>
      </c>
    </row>
    <row r="295" ht="12.0" customHeight="1">
      <c r="S295" s="65">
        <v>11.0</v>
      </c>
      <c r="T295" s="76">
        <v>34.79</v>
      </c>
      <c r="U295" s="79">
        <v>10.2</v>
      </c>
      <c r="V295" s="79">
        <v>22.8</v>
      </c>
      <c r="W295" s="79">
        <v>10.21</v>
      </c>
      <c r="X295" s="79">
        <v>17.69</v>
      </c>
      <c r="Y295" s="79">
        <v>0.48</v>
      </c>
      <c r="Z295" s="79">
        <v>1.08</v>
      </c>
      <c r="AA295" s="81">
        <v>0.0</v>
      </c>
      <c r="AB295" s="79">
        <v>0.72</v>
      </c>
      <c r="AC295" s="79">
        <v>0.66</v>
      </c>
      <c r="AD295" s="79">
        <v>0.84</v>
      </c>
      <c r="AE295" s="81">
        <v>0.0</v>
      </c>
      <c r="AF295" s="81">
        <v>0.0</v>
      </c>
      <c r="AG295" s="79">
        <v>0.3</v>
      </c>
      <c r="AH295" s="82">
        <v>0.23</v>
      </c>
      <c r="CM295" s="360" t="str">
        <f t="shared" ref="CM295:CZ295" si="65">CM229&amp;","</f>
        <v>40.96,</v>
      </c>
      <c r="CN295" s="360" t="str">
        <f t="shared" si="65"/>
        <v>36.53,</v>
      </c>
      <c r="CO295" s="360" t="str">
        <f t="shared" si="65"/>
        <v>0.34,</v>
      </c>
      <c r="CP295" s="360" t="str">
        <f t="shared" si="65"/>
        <v>0,</v>
      </c>
      <c r="CQ295" s="360" t="str">
        <f t="shared" si="65"/>
        <v>10.4,</v>
      </c>
      <c r="CR295" s="360" t="str">
        <f t="shared" si="65"/>
        <v>9.07,</v>
      </c>
      <c r="CS295" s="360" t="str">
        <f t="shared" si="65"/>
        <v>0,</v>
      </c>
      <c r="CT295" s="360" t="str">
        <f t="shared" si="65"/>
        <v>0,</v>
      </c>
      <c r="CU295" s="360" t="str">
        <f t="shared" si="65"/>
        <v>0,</v>
      </c>
      <c r="CV295" s="360" t="str">
        <f t="shared" si="65"/>
        <v>0,</v>
      </c>
      <c r="CW295" s="360" t="str">
        <f t="shared" si="65"/>
        <v>0,</v>
      </c>
      <c r="CX295" s="360" t="str">
        <f t="shared" si="65"/>
        <v>0,</v>
      </c>
      <c r="CY295" s="360" t="str">
        <f t="shared" si="65"/>
        <v>0,</v>
      </c>
      <c r="CZ295" s="360" t="str">
        <f t="shared" si="65"/>
        <v>0,</v>
      </c>
      <c r="DA295" s="360">
        <v>2.7</v>
      </c>
      <c r="DK295" s="83">
        <v>36.0</v>
      </c>
      <c r="DM295" s="318" t="s">
        <v>503</v>
      </c>
      <c r="DN295" s="318" t="s">
        <v>504</v>
      </c>
      <c r="DO295" s="318" t="s">
        <v>505</v>
      </c>
      <c r="DP295" s="318" t="s">
        <v>276</v>
      </c>
      <c r="DQ295" s="318" t="s">
        <v>506</v>
      </c>
      <c r="DR295" s="318" t="s">
        <v>276</v>
      </c>
      <c r="DS295" s="318" t="s">
        <v>276</v>
      </c>
      <c r="DT295" s="361" t="s">
        <v>507</v>
      </c>
      <c r="DU295" s="41"/>
      <c r="DV295" s="41"/>
      <c r="DW295" s="41"/>
      <c r="DX295" s="318" t="s">
        <v>503</v>
      </c>
      <c r="DY295" s="318" t="s">
        <v>505</v>
      </c>
      <c r="DZ295" s="318" t="s">
        <v>508</v>
      </c>
      <c r="EA295" s="361">
        <v>0.0</v>
      </c>
      <c r="EB295" s="41"/>
      <c r="EC295" s="41"/>
      <c r="ED295" s="41"/>
      <c r="EE295" s="318" t="s">
        <v>503</v>
      </c>
      <c r="EF295" s="318" t="s">
        <v>505</v>
      </c>
      <c r="EG295" s="364">
        <v>22.53</v>
      </c>
    </row>
    <row r="296" ht="12.0" customHeight="1">
      <c r="S296" s="65">
        <v>12.0</v>
      </c>
      <c r="T296" s="76">
        <v>34.64</v>
      </c>
      <c r="U296" s="79">
        <v>8.91</v>
      </c>
      <c r="V296" s="79">
        <v>12.49</v>
      </c>
      <c r="W296" s="79">
        <v>19.57</v>
      </c>
      <c r="X296" s="79">
        <v>17.98</v>
      </c>
      <c r="Y296" s="79">
        <v>1.28</v>
      </c>
      <c r="Z296" s="79">
        <v>1.29</v>
      </c>
      <c r="AA296" s="81">
        <v>0.0</v>
      </c>
      <c r="AB296" s="79">
        <v>1.41</v>
      </c>
      <c r="AC296" s="81">
        <v>0.0</v>
      </c>
      <c r="AD296" s="79">
        <v>0.89</v>
      </c>
      <c r="AE296" s="81">
        <v>0.0</v>
      </c>
      <c r="AF296" s="81">
        <v>0.0</v>
      </c>
      <c r="AG296" s="79">
        <v>0.53</v>
      </c>
      <c r="AH296" s="82">
        <v>1.01</v>
      </c>
      <c r="CM296" s="360" t="str">
        <f t="shared" ref="CM296:CZ296" si="66">CL230&amp;","</f>
        <v>29.98,</v>
      </c>
      <c r="CN296" s="360" t="str">
        <f t="shared" si="66"/>
        <v>32.7,</v>
      </c>
      <c r="CO296" s="360" t="str">
        <f t="shared" si="66"/>
        <v>0.59,</v>
      </c>
      <c r="CP296" s="360" t="str">
        <f t="shared" si="66"/>
        <v>0,</v>
      </c>
      <c r="CQ296" s="360" t="str">
        <f t="shared" si="66"/>
        <v>18.9,</v>
      </c>
      <c r="CR296" s="360" t="str">
        <f t="shared" si="66"/>
        <v>15.63,</v>
      </c>
      <c r="CS296" s="360" t="str">
        <f t="shared" si="66"/>
        <v>0,</v>
      </c>
      <c r="CT296" s="360" t="str">
        <f t="shared" si="66"/>
        <v>0,</v>
      </c>
      <c r="CU296" s="360" t="str">
        <f t="shared" si="66"/>
        <v>0,</v>
      </c>
      <c r="CV296" s="360" t="str">
        <f t="shared" si="66"/>
        <v>0,</v>
      </c>
      <c r="CW296" s="360" t="str">
        <f t="shared" si="66"/>
        <v>0,</v>
      </c>
      <c r="CX296" s="360" t="str">
        <f t="shared" si="66"/>
        <v>0,</v>
      </c>
      <c r="CY296" s="360" t="str">
        <f t="shared" si="66"/>
        <v>0,</v>
      </c>
      <c r="CZ296" s="360" t="str">
        <f t="shared" si="66"/>
        <v>0,</v>
      </c>
      <c r="DA296" s="360">
        <v>2.2</v>
      </c>
      <c r="DK296" s="83">
        <v>37.0</v>
      </c>
      <c r="DM296" s="318" t="s">
        <v>509</v>
      </c>
      <c r="DN296" s="318" t="s">
        <v>322</v>
      </c>
      <c r="DO296" s="318" t="s">
        <v>510</v>
      </c>
      <c r="DP296" s="318" t="s">
        <v>276</v>
      </c>
      <c r="DQ296" s="318" t="s">
        <v>276</v>
      </c>
      <c r="DR296" s="318" t="s">
        <v>276</v>
      </c>
      <c r="DS296" s="318" t="s">
        <v>276</v>
      </c>
      <c r="DT296" s="361" t="s">
        <v>511</v>
      </c>
      <c r="DU296" s="41"/>
      <c r="DV296" s="41"/>
      <c r="DW296" s="41"/>
      <c r="DX296" s="318" t="s">
        <v>509</v>
      </c>
      <c r="DY296" s="318" t="s">
        <v>510</v>
      </c>
      <c r="DZ296" s="318" t="s">
        <v>512</v>
      </c>
      <c r="EA296" s="361">
        <v>0.0</v>
      </c>
      <c r="EB296" s="41"/>
      <c r="EC296" s="41"/>
      <c r="ED296" s="41"/>
      <c r="EE296" s="318" t="s">
        <v>509</v>
      </c>
      <c r="EF296" s="318" t="s">
        <v>510</v>
      </c>
      <c r="EG296" s="364">
        <v>11.34</v>
      </c>
    </row>
    <row r="297" ht="12.0" customHeight="1">
      <c r="S297" s="65">
        <v>13.0</v>
      </c>
      <c r="T297" s="76">
        <v>28.01</v>
      </c>
      <c r="U297" s="79">
        <v>26.96</v>
      </c>
      <c r="V297" s="81">
        <v>0.0</v>
      </c>
      <c r="W297" s="81">
        <v>0.0</v>
      </c>
      <c r="X297" s="79">
        <v>8.65</v>
      </c>
      <c r="Y297" s="79">
        <v>19.59</v>
      </c>
      <c r="Z297" s="81">
        <v>0.0</v>
      </c>
      <c r="AA297" s="81">
        <v>0.0</v>
      </c>
      <c r="AB297" s="79">
        <v>6.3</v>
      </c>
      <c r="AC297" s="81">
        <v>0.0</v>
      </c>
      <c r="AD297" s="79">
        <v>5.6</v>
      </c>
      <c r="AE297" s="81">
        <v>0.0</v>
      </c>
      <c r="AF297" s="81">
        <v>0.0</v>
      </c>
      <c r="AG297" s="79">
        <v>2.15</v>
      </c>
      <c r="AH297" s="82">
        <v>2.74</v>
      </c>
      <c r="CM297" s="360" t="str">
        <f t="shared" ref="CM297:CZ297" si="67">CL231&amp;","</f>
        <v>38.57,</v>
      </c>
      <c r="CN297" s="360" t="str">
        <f t="shared" si="67"/>
        <v>18.17,</v>
      </c>
      <c r="CO297" s="360" t="str">
        <f t="shared" si="67"/>
        <v>7.16,</v>
      </c>
      <c r="CP297" s="360" t="str">
        <f t="shared" si="67"/>
        <v>0,</v>
      </c>
      <c r="CQ297" s="360" t="str">
        <f t="shared" si="67"/>
        <v>18.3,</v>
      </c>
      <c r="CR297" s="360" t="str">
        <f t="shared" si="67"/>
        <v>17.45,</v>
      </c>
      <c r="CS297" s="360" t="str">
        <f t="shared" si="67"/>
        <v>0,</v>
      </c>
      <c r="CT297" s="360" t="str">
        <f t="shared" si="67"/>
        <v>0,</v>
      </c>
      <c r="CU297" s="360" t="str">
        <f t="shared" si="67"/>
        <v>0.34,</v>
      </c>
      <c r="CV297" s="360" t="str">
        <f t="shared" si="67"/>
        <v>0,</v>
      </c>
      <c r="CW297" s="360" t="str">
        <f t="shared" si="67"/>
        <v>0,</v>
      </c>
      <c r="CX297" s="360" t="str">
        <f t="shared" si="67"/>
        <v>0,</v>
      </c>
      <c r="CY297" s="360" t="str">
        <f t="shared" si="67"/>
        <v>0,</v>
      </c>
      <c r="CZ297" s="360" t="str">
        <f t="shared" si="67"/>
        <v>0,</v>
      </c>
      <c r="DA297" s="360">
        <v>0.01</v>
      </c>
      <c r="DK297" s="83">
        <v>38.0</v>
      </c>
      <c r="DM297" s="318" t="s">
        <v>513</v>
      </c>
      <c r="DN297" s="318" t="s">
        <v>514</v>
      </c>
      <c r="DO297" s="318" t="s">
        <v>515</v>
      </c>
      <c r="DP297" s="318" t="s">
        <v>276</v>
      </c>
      <c r="DQ297" s="318" t="s">
        <v>276</v>
      </c>
      <c r="DR297" s="318" t="s">
        <v>276</v>
      </c>
      <c r="DS297" s="318" t="s">
        <v>276</v>
      </c>
      <c r="DT297" s="361" t="s">
        <v>516</v>
      </c>
      <c r="DU297" s="41"/>
      <c r="DV297" s="41"/>
      <c r="DW297" s="41"/>
      <c r="DX297" s="318" t="s">
        <v>513</v>
      </c>
      <c r="DY297" s="318" t="s">
        <v>515</v>
      </c>
      <c r="DZ297" s="318" t="s">
        <v>517</v>
      </c>
      <c r="EA297" s="361">
        <v>0.0</v>
      </c>
      <c r="EB297" s="41"/>
      <c r="EC297" s="41"/>
      <c r="ED297" s="41"/>
      <c r="EE297" s="318" t="s">
        <v>513</v>
      </c>
      <c r="EF297" s="318" t="s">
        <v>515</v>
      </c>
      <c r="EG297" s="364">
        <v>39.230000000000004</v>
      </c>
    </row>
    <row r="298" ht="12.0" customHeight="1">
      <c r="S298" s="65">
        <v>14.0</v>
      </c>
      <c r="T298" s="76">
        <v>36.0</v>
      </c>
      <c r="U298" s="79">
        <v>19.16</v>
      </c>
      <c r="V298" s="79">
        <v>16.04</v>
      </c>
      <c r="W298" s="79">
        <v>10.56</v>
      </c>
      <c r="X298" s="79">
        <v>8.74</v>
      </c>
      <c r="Y298" s="79">
        <v>6.54</v>
      </c>
      <c r="Z298" s="79">
        <v>0.92</v>
      </c>
      <c r="AA298" s="81">
        <v>0.0</v>
      </c>
      <c r="AB298" s="79">
        <v>0.98</v>
      </c>
      <c r="AC298" s="79">
        <v>0.0</v>
      </c>
      <c r="AD298" s="79">
        <v>0.32</v>
      </c>
      <c r="AE298" s="81">
        <v>0.0</v>
      </c>
      <c r="AF298" s="81">
        <v>0.0</v>
      </c>
      <c r="AG298" s="81">
        <v>0.0</v>
      </c>
      <c r="AH298" s="82">
        <v>0.74</v>
      </c>
      <c r="CM298" s="360" t="str">
        <f t="shared" ref="CM298:CZ298" si="68">CL232&amp;","</f>
        <v>37.91,</v>
      </c>
      <c r="CN298" s="360" t="str">
        <f t="shared" si="68"/>
        <v>0,</v>
      </c>
      <c r="CO298" s="360" t="str">
        <f t="shared" si="68"/>
        <v>0,</v>
      </c>
      <c r="CP298" s="360" t="str">
        <f t="shared" si="68"/>
        <v>0,</v>
      </c>
      <c r="CQ298" s="360" t="str">
        <f t="shared" si="68"/>
        <v>26.44,</v>
      </c>
      <c r="CR298" s="360" t="str">
        <f t="shared" si="68"/>
        <v>2.49,</v>
      </c>
      <c r="CS298" s="360" t="str">
        <f t="shared" si="68"/>
        <v>0,</v>
      </c>
      <c r="CT298" s="360" t="str">
        <f t="shared" si="68"/>
        <v>0,</v>
      </c>
      <c r="CU298" s="360" t="str">
        <f t="shared" si="68"/>
        <v>0.49,</v>
      </c>
      <c r="CV298" s="360" t="str">
        <f t="shared" si="68"/>
        <v>0,</v>
      </c>
      <c r="CW298" s="360" t="str">
        <f t="shared" si="68"/>
        <v>1.89,</v>
      </c>
      <c r="CX298" s="360" t="str">
        <f t="shared" si="68"/>
        <v>23.2,</v>
      </c>
      <c r="CY298" s="360" t="str">
        <f t="shared" si="68"/>
        <v>0,</v>
      </c>
      <c r="CZ298" s="360" t="str">
        <f t="shared" si="68"/>
        <v>0,</v>
      </c>
      <c r="DA298" s="360">
        <v>7.58</v>
      </c>
      <c r="DK298" s="83">
        <v>39.0</v>
      </c>
      <c r="DM298" s="318" t="s">
        <v>518</v>
      </c>
      <c r="DN298" s="318" t="s">
        <v>519</v>
      </c>
      <c r="DO298" s="318" t="s">
        <v>520</v>
      </c>
      <c r="DP298" s="318" t="s">
        <v>276</v>
      </c>
      <c r="DQ298" s="318" t="s">
        <v>276</v>
      </c>
      <c r="DR298" s="318" t="s">
        <v>276</v>
      </c>
      <c r="DS298" s="318" t="s">
        <v>276</v>
      </c>
      <c r="DT298" s="361" t="s">
        <v>521</v>
      </c>
      <c r="DU298" s="41"/>
      <c r="DV298" s="41"/>
      <c r="DW298" s="41"/>
      <c r="DX298" s="318" t="s">
        <v>518</v>
      </c>
      <c r="DY298" s="318" t="s">
        <v>520</v>
      </c>
      <c r="DZ298" s="318" t="s">
        <v>522</v>
      </c>
      <c r="EA298" s="361">
        <v>0.0</v>
      </c>
      <c r="EB298" s="41"/>
      <c r="EC298" s="41"/>
      <c r="ED298" s="41"/>
      <c r="EE298" s="318" t="s">
        <v>518</v>
      </c>
      <c r="EF298" s="318" t="s">
        <v>520</v>
      </c>
      <c r="EG298" s="364">
        <v>34.900000000000006</v>
      </c>
    </row>
    <row r="299" ht="12.0" customHeight="1">
      <c r="S299" s="65">
        <v>15.0</v>
      </c>
      <c r="T299" s="76">
        <v>32.91</v>
      </c>
      <c r="U299" s="79">
        <v>14.66</v>
      </c>
      <c r="V299" s="79">
        <v>8.88</v>
      </c>
      <c r="W299" s="79">
        <v>17.09</v>
      </c>
      <c r="X299" s="79">
        <v>15.22</v>
      </c>
      <c r="Y299" s="79">
        <v>1.88</v>
      </c>
      <c r="Z299" s="79">
        <v>7.33</v>
      </c>
      <c r="AA299" s="81">
        <v>0.0</v>
      </c>
      <c r="AB299" s="79">
        <v>1.1</v>
      </c>
      <c r="AC299" s="79">
        <v>0.13</v>
      </c>
      <c r="AD299" s="79">
        <v>0.41</v>
      </c>
      <c r="AE299" s="81">
        <v>0.0</v>
      </c>
      <c r="AF299" s="81">
        <v>0.0</v>
      </c>
      <c r="AG299" s="81">
        <v>0.0</v>
      </c>
      <c r="AH299" s="82">
        <v>0.39</v>
      </c>
      <c r="CM299" s="360" t="str">
        <f t="shared" ref="CM299:CZ299" si="69">CL233&amp;","</f>
        <v>20.58,</v>
      </c>
      <c r="CN299" s="360" t="str">
        <f t="shared" si="69"/>
        <v>0,</v>
      </c>
      <c r="CO299" s="360" t="str">
        <f t="shared" si="69"/>
        <v>16.26,</v>
      </c>
      <c r="CP299" s="360" t="str">
        <f t="shared" si="69"/>
        <v>19.51,</v>
      </c>
      <c r="CQ299" s="360" t="str">
        <f t="shared" si="69"/>
        <v>27,</v>
      </c>
      <c r="CR299" s="360" t="str">
        <f t="shared" si="69"/>
        <v>1.78,</v>
      </c>
      <c r="CS299" s="360" t="str">
        <f t="shared" si="69"/>
        <v>1.65,</v>
      </c>
      <c r="CT299" s="360" t="str">
        <f t="shared" si="69"/>
        <v>0,</v>
      </c>
      <c r="CU299" s="360" t="str">
        <f t="shared" si="69"/>
        <v>0.55,</v>
      </c>
      <c r="CV299" s="360" t="str">
        <f t="shared" si="69"/>
        <v>0,</v>
      </c>
      <c r="CW299" s="360" t="str">
        <f t="shared" si="69"/>
        <v>0,</v>
      </c>
      <c r="CX299" s="360" t="str">
        <f t="shared" si="69"/>
        <v>6.82,</v>
      </c>
      <c r="CY299" s="360" t="str">
        <f t="shared" si="69"/>
        <v>2.19,</v>
      </c>
      <c r="CZ299" s="360" t="str">
        <f t="shared" si="69"/>
        <v>0,</v>
      </c>
      <c r="DA299" s="360">
        <v>3.66</v>
      </c>
      <c r="DK299" s="83">
        <v>40.0</v>
      </c>
      <c r="DM299" s="318" t="s">
        <v>523</v>
      </c>
      <c r="DN299" s="318" t="s">
        <v>524</v>
      </c>
      <c r="DO299" s="318" t="s">
        <v>525</v>
      </c>
      <c r="DP299" s="318" t="s">
        <v>276</v>
      </c>
      <c r="DQ299" s="318" t="s">
        <v>276</v>
      </c>
      <c r="DR299" s="318" t="s">
        <v>276</v>
      </c>
      <c r="DS299" s="318" t="s">
        <v>276</v>
      </c>
      <c r="DT299" s="361" t="s">
        <v>301</v>
      </c>
      <c r="DU299" s="41"/>
      <c r="DV299" s="41"/>
      <c r="DW299" s="41"/>
      <c r="DX299" s="318" t="s">
        <v>523</v>
      </c>
      <c r="DY299" s="318" t="s">
        <v>525</v>
      </c>
      <c r="DZ299" s="318" t="s">
        <v>526</v>
      </c>
      <c r="EA299" s="361">
        <v>0.0</v>
      </c>
      <c r="EB299" s="41"/>
      <c r="EC299" s="41"/>
      <c r="ED299" s="41"/>
      <c r="EE299" s="318" t="s">
        <v>523</v>
      </c>
      <c r="EF299" s="318" t="s">
        <v>525</v>
      </c>
      <c r="EG299" s="364">
        <v>18.180000000000003</v>
      </c>
    </row>
    <row r="300" ht="12.0" customHeight="1">
      <c r="S300" s="65">
        <v>16.0</v>
      </c>
      <c r="T300" s="76">
        <v>29.45</v>
      </c>
      <c r="U300" s="79">
        <v>11.76</v>
      </c>
      <c r="V300" s="79">
        <v>13.6</v>
      </c>
      <c r="W300" s="79">
        <v>24.01</v>
      </c>
      <c r="X300" s="79">
        <v>11.12</v>
      </c>
      <c r="Y300" s="79">
        <v>0.58</v>
      </c>
      <c r="Z300" s="79">
        <v>5.92</v>
      </c>
      <c r="AA300" s="81">
        <v>0.0</v>
      </c>
      <c r="AB300" s="81">
        <v>0.0</v>
      </c>
      <c r="AC300" s="79">
        <v>2.17</v>
      </c>
      <c r="AD300" s="79">
        <v>0.38</v>
      </c>
      <c r="AE300" s="81">
        <v>0.0</v>
      </c>
      <c r="AF300" s="81">
        <v>0.0</v>
      </c>
      <c r="AG300" s="79">
        <v>0.01</v>
      </c>
      <c r="AH300" s="82">
        <v>1.0</v>
      </c>
      <c r="CM300" s="360" t="str">
        <f t="shared" ref="CM300:CZ300" si="70">CL234&amp;","</f>
        <v>21.9,</v>
      </c>
      <c r="CN300" s="360" t="str">
        <f t="shared" si="70"/>
        <v>0,</v>
      </c>
      <c r="CO300" s="360" t="str">
        <f t="shared" si="70"/>
        <v>28.33,</v>
      </c>
      <c r="CP300" s="360" t="str">
        <f t="shared" si="70"/>
        <v>9.78,</v>
      </c>
      <c r="CQ300" s="360" t="str">
        <f t="shared" si="70"/>
        <v>17.3,</v>
      </c>
      <c r="CR300" s="360" t="str">
        <f t="shared" si="70"/>
        <v>1.34,</v>
      </c>
      <c r="CS300" s="360" t="str">
        <f t="shared" si="70"/>
        <v>12.2,</v>
      </c>
      <c r="CT300" s="360" t="str">
        <f t="shared" si="70"/>
        <v>0,</v>
      </c>
      <c r="CU300" s="360" t="str">
        <f t="shared" si="70"/>
        <v>0.08,</v>
      </c>
      <c r="CV300" s="360" t="str">
        <f t="shared" si="70"/>
        <v>0,</v>
      </c>
      <c r="CW300" s="360" t="str">
        <f t="shared" si="70"/>
        <v>0,</v>
      </c>
      <c r="CX300" s="360" t="str">
        <f t="shared" si="70"/>
        <v>3,</v>
      </c>
      <c r="CY300" s="360" t="str">
        <f t="shared" si="70"/>
        <v>0,</v>
      </c>
      <c r="CZ300" s="360" t="str">
        <f t="shared" si="70"/>
        <v>0,</v>
      </c>
      <c r="DA300" s="360">
        <v>6.07</v>
      </c>
      <c r="DK300" s="83">
        <v>41.0</v>
      </c>
      <c r="DM300" s="318" t="s">
        <v>527</v>
      </c>
      <c r="DN300" s="318" t="s">
        <v>276</v>
      </c>
      <c r="DO300" s="318" t="s">
        <v>528</v>
      </c>
      <c r="DP300" s="318" t="s">
        <v>276</v>
      </c>
      <c r="DQ300" s="318" t="s">
        <v>276</v>
      </c>
      <c r="DR300" s="318" t="s">
        <v>529</v>
      </c>
      <c r="DS300" s="318" t="s">
        <v>276</v>
      </c>
      <c r="DT300" s="361" t="s">
        <v>530</v>
      </c>
      <c r="DU300" s="41"/>
      <c r="DV300" s="41"/>
      <c r="DW300" s="41"/>
      <c r="DX300" s="318" t="s">
        <v>527</v>
      </c>
      <c r="DY300" s="318" t="s">
        <v>528</v>
      </c>
      <c r="DZ300" s="318" t="s">
        <v>531</v>
      </c>
      <c r="EA300" s="361">
        <v>0.0</v>
      </c>
      <c r="EB300" s="41"/>
      <c r="EC300" s="41"/>
      <c r="ED300" s="41"/>
      <c r="EE300" s="318" t="s">
        <v>527</v>
      </c>
      <c r="EF300" s="318" t="s">
        <v>528</v>
      </c>
      <c r="EG300" s="364">
        <v>30.78</v>
      </c>
    </row>
    <row r="301" ht="12.0" customHeight="1">
      <c r="S301" s="65">
        <v>17.0</v>
      </c>
      <c r="T301" s="76">
        <v>31.71</v>
      </c>
      <c r="U301" s="79">
        <v>8.94</v>
      </c>
      <c r="V301" s="79">
        <v>3.55</v>
      </c>
      <c r="W301" s="79">
        <v>29.02</v>
      </c>
      <c r="X301" s="79">
        <v>11.14</v>
      </c>
      <c r="Y301" s="79">
        <v>2.39</v>
      </c>
      <c r="Z301" s="79">
        <v>9.89</v>
      </c>
      <c r="AA301" s="81">
        <v>0.0</v>
      </c>
      <c r="AB301" s="79">
        <v>0.82</v>
      </c>
      <c r="AC301" s="81">
        <v>0.0</v>
      </c>
      <c r="AD301" s="79">
        <v>0.28</v>
      </c>
      <c r="AE301" s="81">
        <v>0.0</v>
      </c>
      <c r="AF301" s="81">
        <v>0.0</v>
      </c>
      <c r="AG301" s="79">
        <v>0.01</v>
      </c>
      <c r="AH301" s="82">
        <v>2.25</v>
      </c>
      <c r="CM301" s="360" t="str">
        <f t="shared" ref="CM301:CZ301" si="71">CL235&amp;","</f>
        <v>14.1,</v>
      </c>
      <c r="CN301" s="360" t="str">
        <f t="shared" si="71"/>
        <v>0,</v>
      </c>
      <c r="CO301" s="360" t="str">
        <f t="shared" si="71"/>
        <v>44.91,</v>
      </c>
      <c r="CP301" s="360" t="str">
        <f t="shared" si="71"/>
        <v>0.34,</v>
      </c>
      <c r="CQ301" s="360" t="str">
        <f t="shared" si="71"/>
        <v>14.11,</v>
      </c>
      <c r="CR301" s="360" t="str">
        <f t="shared" si="71"/>
        <v>0,</v>
      </c>
      <c r="CS301" s="360" t="str">
        <f t="shared" si="71"/>
        <v>14.7,</v>
      </c>
      <c r="CT301" s="360" t="str">
        <f t="shared" si="71"/>
        <v>0,</v>
      </c>
      <c r="CU301" s="360" t="str">
        <f t="shared" si="71"/>
        <v>0.03,</v>
      </c>
      <c r="CV301" s="360" t="str">
        <f t="shared" si="71"/>
        <v>0,</v>
      </c>
      <c r="CW301" s="360" t="str">
        <f t="shared" si="71"/>
        <v>0,</v>
      </c>
      <c r="CX301" s="360" t="str">
        <f t="shared" si="71"/>
        <v>6.23,</v>
      </c>
      <c r="CY301" s="360" t="str">
        <f t="shared" si="71"/>
        <v>2.11,</v>
      </c>
      <c r="CZ301" s="360" t="str">
        <f t="shared" si="71"/>
        <v>0,</v>
      </c>
      <c r="DA301" s="360">
        <v>3.47</v>
      </c>
      <c r="DK301" s="83">
        <v>42.0</v>
      </c>
      <c r="DM301" s="318" t="s">
        <v>532</v>
      </c>
      <c r="DN301" s="318" t="s">
        <v>276</v>
      </c>
      <c r="DO301" s="318" t="s">
        <v>533</v>
      </c>
      <c r="DP301" s="318" t="s">
        <v>458</v>
      </c>
      <c r="DQ301" s="318" t="s">
        <v>276</v>
      </c>
      <c r="DR301" s="318" t="s">
        <v>534</v>
      </c>
      <c r="DS301" s="318" t="s">
        <v>276</v>
      </c>
      <c r="DT301" s="361" t="s">
        <v>535</v>
      </c>
      <c r="DU301" s="41"/>
      <c r="DV301" s="41"/>
      <c r="DW301" s="41"/>
      <c r="DX301" s="318" t="s">
        <v>532</v>
      </c>
      <c r="DY301" s="318" t="s">
        <v>533</v>
      </c>
      <c r="DZ301" s="318" t="s">
        <v>536</v>
      </c>
      <c r="EA301" s="361">
        <v>1.65</v>
      </c>
      <c r="EB301" s="41"/>
      <c r="EC301" s="41"/>
      <c r="ED301" s="41"/>
      <c r="EE301" s="318" t="s">
        <v>537</v>
      </c>
      <c r="EF301" s="318" t="s">
        <v>533</v>
      </c>
      <c r="EG301" s="364">
        <v>10.48</v>
      </c>
    </row>
    <row r="302" ht="12.0" customHeight="1">
      <c r="S302" s="65">
        <v>18.0</v>
      </c>
      <c r="T302" s="76">
        <v>38.12</v>
      </c>
      <c r="U302" s="79">
        <v>17.31</v>
      </c>
      <c r="V302" s="79">
        <v>13.4</v>
      </c>
      <c r="W302" s="79">
        <v>9.46</v>
      </c>
      <c r="X302" s="79">
        <v>9.62</v>
      </c>
      <c r="Y302" s="79">
        <v>7.23</v>
      </c>
      <c r="Z302" s="79">
        <v>1.43</v>
      </c>
      <c r="AA302" s="81">
        <v>0.0</v>
      </c>
      <c r="AB302" s="81">
        <v>0.0</v>
      </c>
      <c r="AC302" s="79">
        <v>0.12</v>
      </c>
      <c r="AD302" s="79">
        <v>1.6</v>
      </c>
      <c r="AE302" s="81">
        <v>0.0</v>
      </c>
      <c r="AF302" s="81">
        <v>0.0</v>
      </c>
      <c r="AG302" s="79">
        <v>0.17</v>
      </c>
      <c r="AH302" s="82">
        <v>1.54</v>
      </c>
      <c r="CM302" s="360" t="str">
        <f t="shared" ref="CM302:CZ302" si="72">CL236&amp;","</f>
        <v>3.96,</v>
      </c>
      <c r="CN302" s="360" t="str">
        <f t="shared" si="72"/>
        <v>0,</v>
      </c>
      <c r="CO302" s="360" t="str">
        <f t="shared" si="72"/>
        <v>50.84,</v>
      </c>
      <c r="CP302" s="360" t="str">
        <f t="shared" si="72"/>
        <v>0.11,</v>
      </c>
      <c r="CQ302" s="360" t="str">
        <f t="shared" si="72"/>
        <v>7.53,</v>
      </c>
      <c r="CR302" s="360" t="str">
        <f t="shared" si="72"/>
        <v>0.6,</v>
      </c>
      <c r="CS302" s="360" t="str">
        <f t="shared" si="72"/>
        <v>17.6,</v>
      </c>
      <c r="CT302" s="360" t="str">
        <f t="shared" si="72"/>
        <v>0,</v>
      </c>
      <c r="CU302" s="360" t="str">
        <f t="shared" si="72"/>
        <v>0,</v>
      </c>
      <c r="CV302" s="360" t="str">
        <f t="shared" si="72"/>
        <v>0,</v>
      </c>
      <c r="CW302" s="360" t="str">
        <f t="shared" si="72"/>
        <v>0.54,</v>
      </c>
      <c r="CX302" s="360" t="str">
        <f t="shared" si="72"/>
        <v>7.06,</v>
      </c>
      <c r="CY302" s="360" t="str">
        <f t="shared" si="72"/>
        <v>4.93,</v>
      </c>
      <c r="CZ302" s="360" t="str">
        <f t="shared" si="72"/>
        <v>0,</v>
      </c>
      <c r="DA302" s="360">
        <v>6.83</v>
      </c>
      <c r="DK302" s="83">
        <v>43.0</v>
      </c>
      <c r="DM302" s="318" t="s">
        <v>538</v>
      </c>
      <c r="DN302" s="318" t="s">
        <v>276</v>
      </c>
      <c r="DO302" s="318" t="s">
        <v>539</v>
      </c>
      <c r="DP302" s="318" t="s">
        <v>540</v>
      </c>
      <c r="DQ302" s="318" t="s">
        <v>276</v>
      </c>
      <c r="DR302" s="318" t="s">
        <v>541</v>
      </c>
      <c r="DS302" s="318" t="s">
        <v>276</v>
      </c>
      <c r="DT302" s="361" t="s">
        <v>542</v>
      </c>
      <c r="DU302" s="41"/>
      <c r="DV302" s="41"/>
      <c r="DW302" s="41"/>
      <c r="DX302" s="318" t="s">
        <v>538</v>
      </c>
      <c r="DY302" s="318" t="s">
        <v>539</v>
      </c>
      <c r="DZ302" s="318" t="s">
        <v>543</v>
      </c>
      <c r="EA302" s="361">
        <v>12.2</v>
      </c>
      <c r="EB302" s="41"/>
      <c r="EC302" s="41"/>
      <c r="ED302" s="41"/>
      <c r="EE302" s="318" t="s">
        <v>544</v>
      </c>
      <c r="EF302" s="318" t="s">
        <v>539</v>
      </c>
      <c r="EG302" s="364">
        <v>9.07</v>
      </c>
    </row>
    <row r="303" ht="12.0" customHeight="1">
      <c r="S303" s="65">
        <v>19.0</v>
      </c>
      <c r="T303" s="76">
        <v>34.39</v>
      </c>
      <c r="U303" s="79">
        <v>10.55</v>
      </c>
      <c r="V303" s="79">
        <v>23.47</v>
      </c>
      <c r="W303" s="79">
        <v>13.45</v>
      </c>
      <c r="X303" s="79">
        <v>11.72</v>
      </c>
      <c r="Y303" s="79">
        <v>0.88</v>
      </c>
      <c r="Z303" s="79">
        <v>1.15</v>
      </c>
      <c r="AA303" s="81">
        <v>0.0</v>
      </c>
      <c r="AB303" s="79">
        <v>1.08</v>
      </c>
      <c r="AC303" s="81">
        <v>0.0</v>
      </c>
      <c r="AD303" s="79">
        <v>0.87</v>
      </c>
      <c r="AE303" s="81">
        <v>0.0</v>
      </c>
      <c r="AF303" s="81">
        <v>0.0</v>
      </c>
      <c r="AG303" s="79">
        <v>1.2</v>
      </c>
      <c r="AH303" s="82">
        <v>1.24</v>
      </c>
      <c r="CM303" s="360" t="str">
        <f t="shared" ref="CM303:CZ303" si="73">CL237&amp;","</f>
        <v>7.12,</v>
      </c>
      <c r="CN303" s="360" t="str">
        <f t="shared" si="73"/>
        <v>0,</v>
      </c>
      <c r="CO303" s="360" t="str">
        <f t="shared" si="73"/>
        <v>39.14,</v>
      </c>
      <c r="CP303" s="360" t="str">
        <f t="shared" si="73"/>
        <v>2.53,</v>
      </c>
      <c r="CQ303" s="360" t="str">
        <f t="shared" si="73"/>
        <v>4.96,</v>
      </c>
      <c r="CR303" s="360" t="str">
        <f t="shared" si="73"/>
        <v>0,</v>
      </c>
      <c r="CS303" s="360" t="str">
        <f t="shared" si="73"/>
        <v>10.01,</v>
      </c>
      <c r="CT303" s="360" t="str">
        <f t="shared" si="73"/>
        <v>0,</v>
      </c>
      <c r="CU303" s="360" t="str">
        <f t="shared" si="73"/>
        <v>4.29,</v>
      </c>
      <c r="CV303" s="360" t="str">
        <f t="shared" si="73"/>
        <v>5.67,</v>
      </c>
      <c r="CW303" s="360" t="str">
        <f t="shared" si="73"/>
        <v>0,</v>
      </c>
      <c r="CX303" s="360" t="str">
        <f t="shared" si="73"/>
        <v>7.78,</v>
      </c>
      <c r="CY303" s="360" t="str">
        <f t="shared" si="73"/>
        <v>9.49,</v>
      </c>
      <c r="CZ303" s="360" t="str">
        <f t="shared" si="73"/>
        <v>0,</v>
      </c>
      <c r="DA303" s="360">
        <v>9.01</v>
      </c>
      <c r="DK303" s="83">
        <v>44.0</v>
      </c>
      <c r="DM303" s="318" t="s">
        <v>545</v>
      </c>
      <c r="DN303" s="318" t="s">
        <v>276</v>
      </c>
      <c r="DO303" s="318" t="s">
        <v>546</v>
      </c>
      <c r="DP303" s="318" t="s">
        <v>547</v>
      </c>
      <c r="DQ303" s="318" t="s">
        <v>276</v>
      </c>
      <c r="DR303" s="318" t="s">
        <v>548</v>
      </c>
      <c r="DS303" s="318" t="s">
        <v>276</v>
      </c>
      <c r="DT303" s="361" t="s">
        <v>549</v>
      </c>
      <c r="DU303" s="41"/>
      <c r="DV303" s="41"/>
      <c r="DW303" s="41"/>
      <c r="DX303" s="318" t="s">
        <v>545</v>
      </c>
      <c r="DY303" s="318" t="s">
        <v>546</v>
      </c>
      <c r="DZ303" s="318" t="s">
        <v>550</v>
      </c>
      <c r="EA303" s="361">
        <v>14.7</v>
      </c>
      <c r="EB303" s="41"/>
      <c r="EC303" s="41"/>
      <c r="ED303" s="41"/>
      <c r="EE303" s="318" t="s">
        <v>551</v>
      </c>
      <c r="EF303" s="318" t="s">
        <v>546</v>
      </c>
      <c r="EG303" s="364">
        <v>9.700000000000001</v>
      </c>
    </row>
    <row r="304" ht="12.0" customHeight="1">
      <c r="S304" s="65">
        <v>20.0</v>
      </c>
      <c r="T304" s="90">
        <v>27.47</v>
      </c>
      <c r="U304" s="79">
        <v>10.3</v>
      </c>
      <c r="V304" s="79">
        <v>8.67</v>
      </c>
      <c r="W304" s="397">
        <v>38.15</v>
      </c>
      <c r="X304" s="79">
        <v>9.85</v>
      </c>
      <c r="Y304" s="79">
        <v>0.82</v>
      </c>
      <c r="Z304" s="79">
        <v>0.8</v>
      </c>
      <c r="AA304" s="81">
        <v>0.0</v>
      </c>
      <c r="AB304" s="79">
        <v>0.15</v>
      </c>
      <c r="AC304" s="79">
        <v>3.22</v>
      </c>
      <c r="AD304" s="81">
        <v>0.0</v>
      </c>
      <c r="AE304" s="81">
        <v>0.0</v>
      </c>
      <c r="AF304" s="81">
        <v>0.0</v>
      </c>
      <c r="AG304" s="81">
        <v>0.0</v>
      </c>
      <c r="AH304" s="82">
        <v>0.57</v>
      </c>
      <c r="CM304" s="360" t="str">
        <f t="shared" ref="CM304:CZ304" si="74">CL238&amp;","</f>
        <v>14.31,</v>
      </c>
      <c r="CN304" s="360" t="str">
        <f t="shared" si="74"/>
        <v>0,</v>
      </c>
      <c r="CO304" s="360" t="str">
        <f t="shared" si="74"/>
        <v>50.42,</v>
      </c>
      <c r="CP304" s="360" t="str">
        <f t="shared" si="74"/>
        <v>8.09,</v>
      </c>
      <c r="CQ304" s="360" t="str">
        <f t="shared" si="74"/>
        <v>5.39,</v>
      </c>
      <c r="CR304" s="360" t="str">
        <f t="shared" si="74"/>
        <v>0.96,</v>
      </c>
      <c r="CS304" s="360" t="str">
        <f t="shared" si="74"/>
        <v>1.38,</v>
      </c>
      <c r="CT304" s="360" t="str">
        <f t="shared" si="74"/>
        <v>0,</v>
      </c>
      <c r="CU304" s="360" t="str">
        <f t="shared" si="74"/>
        <v>0.06,</v>
      </c>
      <c r="CV304" s="360" t="str">
        <f t="shared" si="74"/>
        <v>1.54,</v>
      </c>
      <c r="CW304" s="360" t="str">
        <f t="shared" si="74"/>
        <v>0,</v>
      </c>
      <c r="CX304" s="360" t="str">
        <f t="shared" si="74"/>
        <v>0,</v>
      </c>
      <c r="CY304" s="360" t="str">
        <f t="shared" si="74"/>
        <v>3.7,</v>
      </c>
      <c r="CZ304" s="360" t="str">
        <f t="shared" si="74"/>
        <v>0,</v>
      </c>
      <c r="DA304" s="360">
        <v>14.15</v>
      </c>
      <c r="DK304" s="83">
        <v>45.0</v>
      </c>
      <c r="DM304" s="318" t="s">
        <v>552</v>
      </c>
      <c r="DN304" s="318" t="s">
        <v>276</v>
      </c>
      <c r="DO304" s="318" t="s">
        <v>553</v>
      </c>
      <c r="DP304" s="318" t="s">
        <v>554</v>
      </c>
      <c r="DQ304" s="318" t="s">
        <v>276</v>
      </c>
      <c r="DR304" s="318" t="s">
        <v>555</v>
      </c>
      <c r="DS304" s="318" t="s">
        <v>276</v>
      </c>
      <c r="DT304" s="361" t="s">
        <v>556</v>
      </c>
      <c r="DU304" s="41"/>
      <c r="DV304" s="41"/>
      <c r="DW304" s="41"/>
      <c r="DX304" s="318" t="s">
        <v>552</v>
      </c>
      <c r="DY304" s="318" t="s">
        <v>553</v>
      </c>
      <c r="DZ304" s="318" t="s">
        <v>557</v>
      </c>
      <c r="EA304" s="361">
        <v>17.6</v>
      </c>
      <c r="EB304" s="41"/>
      <c r="EC304" s="41"/>
      <c r="ED304" s="41"/>
      <c r="EE304" s="318" t="s">
        <v>558</v>
      </c>
      <c r="EF304" s="318" t="s">
        <v>553</v>
      </c>
      <c r="EG304" s="364">
        <v>13.89</v>
      </c>
    </row>
    <row r="305" ht="12.0" customHeight="1">
      <c r="S305" s="65">
        <v>21.0</v>
      </c>
      <c r="T305" s="76">
        <v>28.94</v>
      </c>
      <c r="U305" s="79">
        <v>11.04</v>
      </c>
      <c r="V305" s="79">
        <v>0.1</v>
      </c>
      <c r="W305" s="79">
        <v>4.24</v>
      </c>
      <c r="X305" s="79">
        <v>25.33</v>
      </c>
      <c r="Y305" s="79">
        <v>5.33</v>
      </c>
      <c r="Z305" s="81">
        <v>0.0</v>
      </c>
      <c r="AA305" s="81">
        <v>0.0</v>
      </c>
      <c r="AB305" s="79">
        <v>20.84</v>
      </c>
      <c r="AC305" s="79">
        <v>0.15</v>
      </c>
      <c r="AD305" s="79">
        <v>0.11</v>
      </c>
      <c r="AE305" s="81">
        <v>0.0</v>
      </c>
      <c r="AF305" s="81">
        <v>0.0</v>
      </c>
      <c r="AG305" s="81">
        <v>0.0</v>
      </c>
      <c r="AH305" s="82">
        <v>3.92</v>
      </c>
      <c r="CM305" s="360" t="str">
        <f t="shared" ref="CM305:CZ305" si="75">CL239&amp;","</f>
        <v>16.39,</v>
      </c>
      <c r="CN305" s="360" t="str">
        <f t="shared" si="75"/>
        <v>0,</v>
      </c>
      <c r="CO305" s="360" t="str">
        <f t="shared" si="75"/>
        <v>27.87,</v>
      </c>
      <c r="CP305" s="360" t="str">
        <f t="shared" si="75"/>
        <v>6.22,</v>
      </c>
      <c r="CQ305" s="360" t="str">
        <f t="shared" si="75"/>
        <v>10.41,</v>
      </c>
      <c r="CR305" s="360" t="str">
        <f t="shared" si="75"/>
        <v>0,</v>
      </c>
      <c r="CS305" s="360" t="str">
        <f t="shared" si="75"/>
        <v>1.48,</v>
      </c>
      <c r="CT305" s="360" t="str">
        <f t="shared" si="75"/>
        <v>11.82,</v>
      </c>
      <c r="CU305" s="360" t="str">
        <f t="shared" si="75"/>
        <v>0.62,</v>
      </c>
      <c r="CV305" s="360" t="str">
        <f t="shared" si="75"/>
        <v>0,</v>
      </c>
      <c r="CW305" s="360" t="str">
        <f t="shared" si="75"/>
        <v>0.31,</v>
      </c>
      <c r="CX305" s="360" t="str">
        <f t="shared" si="75"/>
        <v>0,</v>
      </c>
      <c r="CY305" s="360" t="str">
        <f t="shared" si="75"/>
        <v>15.8,</v>
      </c>
      <c r="CZ305" s="360" t="str">
        <f t="shared" si="75"/>
        <v>0,</v>
      </c>
      <c r="DA305" s="360">
        <v>9.08</v>
      </c>
      <c r="DK305" s="83">
        <v>46.0</v>
      </c>
      <c r="DM305" s="318" t="s">
        <v>559</v>
      </c>
      <c r="DN305" s="318" t="s">
        <v>276</v>
      </c>
      <c r="DO305" s="318" t="s">
        <v>560</v>
      </c>
      <c r="DP305" s="318" t="s">
        <v>561</v>
      </c>
      <c r="DQ305" s="318" t="s">
        <v>276</v>
      </c>
      <c r="DR305" s="318" t="s">
        <v>562</v>
      </c>
      <c r="DS305" s="318" t="s">
        <v>276</v>
      </c>
      <c r="DT305" s="361" t="s">
        <v>563</v>
      </c>
      <c r="DU305" s="41"/>
      <c r="DV305" s="41"/>
      <c r="DW305" s="41"/>
      <c r="DX305" s="318" t="s">
        <v>559</v>
      </c>
      <c r="DY305" s="318" t="s">
        <v>560</v>
      </c>
      <c r="DZ305" s="318" t="s">
        <v>564</v>
      </c>
      <c r="EA305" s="361">
        <v>10.01</v>
      </c>
      <c r="EB305" s="41"/>
      <c r="EC305" s="41"/>
      <c r="ED305" s="41"/>
      <c r="EE305" s="318" t="s">
        <v>565</v>
      </c>
      <c r="EF305" s="318" t="s">
        <v>560</v>
      </c>
      <c r="EG305" s="364">
        <v>16.79</v>
      </c>
    </row>
    <row r="306" ht="12.0" customHeight="1">
      <c r="S306" s="65">
        <v>22.0</v>
      </c>
      <c r="T306" s="90">
        <v>17.73</v>
      </c>
      <c r="U306" s="79">
        <v>11.07</v>
      </c>
      <c r="V306" s="79">
        <v>23.84</v>
      </c>
      <c r="W306" s="397">
        <v>35.34</v>
      </c>
      <c r="X306" s="79">
        <v>10.48</v>
      </c>
      <c r="Y306" s="81">
        <v>0.0</v>
      </c>
      <c r="Z306" s="79">
        <v>0.83</v>
      </c>
      <c r="AA306" s="81">
        <v>0.0</v>
      </c>
      <c r="AB306" s="81">
        <v>0.0</v>
      </c>
      <c r="AC306" s="79">
        <v>0.34</v>
      </c>
      <c r="AD306" s="81">
        <v>0.0</v>
      </c>
      <c r="AE306" s="81">
        <v>0.0</v>
      </c>
      <c r="AF306" s="81">
        <v>0.0</v>
      </c>
      <c r="AG306" s="79">
        <v>0.36</v>
      </c>
      <c r="AH306" s="82">
        <v>0.05</v>
      </c>
      <c r="CM306" s="360" t="str">
        <f t="shared" ref="CM306:CZ306" si="76">CL240&amp;","</f>
        <v>18.11,</v>
      </c>
      <c r="CN306" s="360" t="str">
        <f t="shared" si="76"/>
        <v>0,</v>
      </c>
      <c r="CO306" s="360" t="str">
        <f t="shared" si="76"/>
        <v>33.91,</v>
      </c>
      <c r="CP306" s="360" t="str">
        <f t="shared" si="76"/>
        <v>2.43,</v>
      </c>
      <c r="CQ306" s="360" t="str">
        <f t="shared" si="76"/>
        <v>6.21,</v>
      </c>
      <c r="CR306" s="360" t="str">
        <f t="shared" si="76"/>
        <v>0.6,</v>
      </c>
      <c r="CS306" s="360" t="str">
        <f t="shared" si="76"/>
        <v>1.68,</v>
      </c>
      <c r="CT306" s="360" t="str">
        <f t="shared" si="76"/>
        <v>15.08,</v>
      </c>
      <c r="CU306" s="360" t="str">
        <f t="shared" si="76"/>
        <v>0,</v>
      </c>
      <c r="CV306" s="360" t="str">
        <f t="shared" si="76"/>
        <v>0,</v>
      </c>
      <c r="CW306" s="360" t="str">
        <f t="shared" si="76"/>
        <v>0.11,</v>
      </c>
      <c r="CX306" s="360" t="str">
        <f t="shared" si="76"/>
        <v>0,</v>
      </c>
      <c r="CY306" s="360" t="str">
        <f t="shared" si="76"/>
        <v>0.97,</v>
      </c>
      <c r="CZ306" s="360" t="str">
        <f t="shared" si="76"/>
        <v>0,</v>
      </c>
      <c r="DA306" s="360">
        <v>20.9</v>
      </c>
      <c r="DK306" s="83">
        <v>47.0</v>
      </c>
      <c r="DM306" s="318" t="s">
        <v>566</v>
      </c>
      <c r="DN306" s="318" t="s">
        <v>276</v>
      </c>
      <c r="DO306" s="318" t="s">
        <v>567</v>
      </c>
      <c r="DP306" s="318" t="s">
        <v>438</v>
      </c>
      <c r="DQ306" s="318" t="s">
        <v>276</v>
      </c>
      <c r="DR306" s="318" t="s">
        <v>276</v>
      </c>
      <c r="DS306" s="318" t="s">
        <v>276</v>
      </c>
      <c r="DT306" s="361" t="s">
        <v>568</v>
      </c>
      <c r="DU306" s="41"/>
      <c r="DV306" s="41"/>
      <c r="DW306" s="41"/>
      <c r="DX306" s="318" t="s">
        <v>566</v>
      </c>
      <c r="DY306" s="318" t="s">
        <v>567</v>
      </c>
      <c r="DZ306" s="318" t="s">
        <v>276</v>
      </c>
      <c r="EA306" s="361">
        <v>1.38</v>
      </c>
      <c r="EB306" s="41"/>
      <c r="EC306" s="41"/>
      <c r="ED306" s="41"/>
      <c r="EE306" s="318" t="s">
        <v>569</v>
      </c>
      <c r="EF306" s="318" t="s">
        <v>567</v>
      </c>
      <c r="EG306" s="364">
        <v>0.0</v>
      </c>
    </row>
    <row r="307" ht="12.0" customHeight="1">
      <c r="S307" s="65">
        <v>23.0</v>
      </c>
      <c r="T307" s="90">
        <v>16.05</v>
      </c>
      <c r="U307" s="79">
        <v>9.56</v>
      </c>
      <c r="V307" s="79">
        <v>14.52</v>
      </c>
      <c r="W307" s="397">
        <v>34.9</v>
      </c>
      <c r="X307" s="79">
        <v>11.89</v>
      </c>
      <c r="Y307" s="79">
        <v>1.8</v>
      </c>
      <c r="Z307" s="79">
        <v>5.17</v>
      </c>
      <c r="AA307" s="81">
        <v>0.0</v>
      </c>
      <c r="AB307" s="81">
        <v>0.0</v>
      </c>
      <c r="AC307" s="79">
        <v>4.11</v>
      </c>
      <c r="AD307" s="79">
        <v>0.33</v>
      </c>
      <c r="AE307" s="81">
        <v>0.0</v>
      </c>
      <c r="AF307" s="81">
        <v>0.0</v>
      </c>
      <c r="AG307" s="79">
        <v>0.29</v>
      </c>
      <c r="AH307" s="82">
        <v>1.38</v>
      </c>
      <c r="CM307" s="360" t="str">
        <f t="shared" ref="CM307:CZ307" si="77">CL241&amp;","</f>
        <v>42.88,</v>
      </c>
      <c r="CN307" s="360" t="str">
        <f t="shared" si="77"/>
        <v>0,</v>
      </c>
      <c r="CO307" s="360" t="str">
        <f t="shared" si="77"/>
        <v>0.31,</v>
      </c>
      <c r="CP307" s="360" t="str">
        <f t="shared" si="77"/>
        <v>0,</v>
      </c>
      <c r="CQ307" s="360" t="str">
        <f t="shared" si="77"/>
        <v>17.87,</v>
      </c>
      <c r="CR307" s="360" t="str">
        <f t="shared" si="77"/>
        <v>0,</v>
      </c>
      <c r="CS307" s="360" t="str">
        <f t="shared" si="77"/>
        <v>0,</v>
      </c>
      <c r="CT307" s="360" t="str">
        <f t="shared" si="77"/>
        <v>30.95,</v>
      </c>
      <c r="CU307" s="360" t="str">
        <f t="shared" si="77"/>
        <v>0.42,</v>
      </c>
      <c r="CV307" s="360" t="str">
        <f t="shared" si="77"/>
        <v>0,</v>
      </c>
      <c r="CW307" s="360" t="str">
        <f t="shared" si="77"/>
        <v>4.47,</v>
      </c>
      <c r="CX307" s="360" t="str">
        <f t="shared" si="77"/>
        <v>0,</v>
      </c>
      <c r="CY307" s="360" t="str">
        <f t="shared" si="77"/>
        <v>0,</v>
      </c>
      <c r="CZ307" s="360" t="str">
        <f t="shared" si="77"/>
        <v>0,</v>
      </c>
      <c r="DA307" s="360">
        <v>3.1</v>
      </c>
      <c r="DK307" s="83">
        <v>48.0</v>
      </c>
      <c r="DM307" s="318" t="s">
        <v>570</v>
      </c>
      <c r="DN307" s="318" t="s">
        <v>276</v>
      </c>
      <c r="DO307" s="318" t="s">
        <v>571</v>
      </c>
      <c r="DP307" s="318" t="s">
        <v>572</v>
      </c>
      <c r="DQ307" s="318" t="s">
        <v>573</v>
      </c>
      <c r="DR307" s="318" t="s">
        <v>276</v>
      </c>
      <c r="DS307" s="318" t="s">
        <v>276</v>
      </c>
      <c r="DT307" s="361" t="s">
        <v>574</v>
      </c>
      <c r="DU307" s="41"/>
      <c r="DV307" s="41"/>
      <c r="DW307" s="41"/>
      <c r="DX307" s="318" t="s">
        <v>570</v>
      </c>
      <c r="DY307" s="318" t="s">
        <v>571</v>
      </c>
      <c r="DZ307" s="318" t="s">
        <v>575</v>
      </c>
      <c r="EA307" s="361">
        <v>1.48</v>
      </c>
      <c r="EB307" s="41"/>
      <c r="EC307" s="41"/>
      <c r="ED307" s="41"/>
      <c r="EE307" s="318" t="s">
        <v>576</v>
      </c>
      <c r="EF307" s="318" t="s">
        <v>571</v>
      </c>
      <c r="EG307" s="364">
        <v>20.9</v>
      </c>
    </row>
    <row r="308" ht="12.0" customHeight="1">
      <c r="S308" s="65">
        <v>24.0</v>
      </c>
      <c r="T308" s="90">
        <v>28.85</v>
      </c>
      <c r="U308" s="79">
        <v>10.38</v>
      </c>
      <c r="V308" s="79">
        <v>13.85</v>
      </c>
      <c r="W308" s="397">
        <v>29.8</v>
      </c>
      <c r="X308" s="81">
        <v>0.0</v>
      </c>
      <c r="Y308" s="81">
        <v>0.0</v>
      </c>
      <c r="Z308" s="79">
        <v>4.2</v>
      </c>
      <c r="AA308" s="81">
        <v>0.0</v>
      </c>
      <c r="AB308" s="79">
        <v>1.18</v>
      </c>
      <c r="AC308" s="79">
        <v>10.88</v>
      </c>
      <c r="AD308" s="81">
        <v>0.0</v>
      </c>
      <c r="AE308" s="81">
        <v>0.0</v>
      </c>
      <c r="AF308" s="81">
        <v>0.0</v>
      </c>
      <c r="AG308" s="81">
        <v>0.0</v>
      </c>
      <c r="AH308" s="82">
        <v>0.86</v>
      </c>
      <c r="CM308" s="360" t="str">
        <f t="shared" ref="CM308:CZ308" si="78">CL242&amp;","</f>
        <v>15.41,</v>
      </c>
      <c r="CN308" s="360" t="str">
        <f t="shared" si="78"/>
        <v>0,</v>
      </c>
      <c r="CO308" s="360" t="str">
        <f t="shared" si="78"/>
        <v>42.59,</v>
      </c>
      <c r="CP308" s="360" t="str">
        <f t="shared" si="78"/>
        <v>0.53,</v>
      </c>
      <c r="CQ308" s="360" t="str">
        <f t="shared" si="78"/>
        <v>10.01,</v>
      </c>
      <c r="CR308" s="360" t="str">
        <f t="shared" si="78"/>
        <v>0,</v>
      </c>
      <c r="CS308" s="360" t="str">
        <f t="shared" si="78"/>
        <v>5.54,</v>
      </c>
      <c r="CT308" s="360" t="str">
        <f t="shared" si="78"/>
        <v>17.71,</v>
      </c>
      <c r="CU308" s="360" t="str">
        <f t="shared" si="78"/>
        <v>0.04,</v>
      </c>
      <c r="CV308" s="360" t="str">
        <f t="shared" si="78"/>
        <v>0,</v>
      </c>
      <c r="CW308" s="360" t="str">
        <f t="shared" si="78"/>
        <v>1.45,</v>
      </c>
      <c r="CX308" s="360" t="str">
        <f t="shared" si="78"/>
        <v>0,</v>
      </c>
      <c r="CY308" s="360" t="str">
        <f t="shared" si="78"/>
        <v>1.09,</v>
      </c>
      <c r="CZ308" s="360" t="str">
        <f t="shared" si="78"/>
        <v>0,</v>
      </c>
      <c r="DA308" s="360">
        <v>5.63</v>
      </c>
      <c r="DK308" s="83">
        <v>49.0</v>
      </c>
      <c r="DM308" s="318" t="s">
        <v>577</v>
      </c>
      <c r="DN308" s="318" t="s">
        <v>276</v>
      </c>
      <c r="DO308" s="318" t="s">
        <v>578</v>
      </c>
      <c r="DP308" s="318" t="s">
        <v>498</v>
      </c>
      <c r="DQ308" s="318" t="s">
        <v>579</v>
      </c>
      <c r="DR308" s="318" t="s">
        <v>276</v>
      </c>
      <c r="DS308" s="318" t="s">
        <v>276</v>
      </c>
      <c r="DT308" s="361" t="s">
        <v>575</v>
      </c>
      <c r="DU308" s="41"/>
      <c r="DV308" s="41"/>
      <c r="DW308" s="41"/>
      <c r="DX308" s="318" t="s">
        <v>577</v>
      </c>
      <c r="DY308" s="318" t="s">
        <v>578</v>
      </c>
      <c r="DZ308" s="318" t="s">
        <v>579</v>
      </c>
      <c r="EA308" s="361">
        <v>1.68</v>
      </c>
      <c r="EB308" s="41"/>
      <c r="EC308" s="41"/>
      <c r="ED308" s="41"/>
      <c r="EE308" s="318" t="s">
        <v>580</v>
      </c>
      <c r="EF308" s="318" t="s">
        <v>578</v>
      </c>
      <c r="EG308" s="364">
        <v>15.08</v>
      </c>
    </row>
    <row r="309" ht="12.0" customHeight="1">
      <c r="S309" s="65">
        <v>25.0</v>
      </c>
      <c r="T309" s="76">
        <v>32.01</v>
      </c>
      <c r="U309" s="79">
        <v>19.89</v>
      </c>
      <c r="V309" s="79">
        <v>20.45</v>
      </c>
      <c r="W309" s="79">
        <v>12.33</v>
      </c>
      <c r="X309" s="79">
        <v>6.37</v>
      </c>
      <c r="Y309" s="79">
        <v>0.55</v>
      </c>
      <c r="Z309" s="79">
        <v>1.96</v>
      </c>
      <c r="AA309" s="81">
        <v>0.0</v>
      </c>
      <c r="AB309" s="81">
        <v>0.0</v>
      </c>
      <c r="AC309" s="79">
        <v>1.12</v>
      </c>
      <c r="AD309" s="79">
        <v>3.54</v>
      </c>
      <c r="AE309" s="81">
        <v>0.0</v>
      </c>
      <c r="AF309" s="81">
        <v>0.0</v>
      </c>
      <c r="AG309" s="79">
        <v>0.92</v>
      </c>
      <c r="AH309" s="82">
        <v>0.86</v>
      </c>
      <c r="CM309" s="360" t="str">
        <f t="shared" ref="CM309:CZ309" si="79">CL243&amp;","</f>
        <v>20.7,</v>
      </c>
      <c r="CN309" s="360" t="str">
        <f t="shared" si="79"/>
        <v>0,</v>
      </c>
      <c r="CO309" s="360" t="str">
        <f t="shared" si="79"/>
        <v>15.53,</v>
      </c>
      <c r="CP309" s="360" t="str">
        <f t="shared" si="79"/>
        <v>0,</v>
      </c>
      <c r="CQ309" s="360" t="str">
        <f t="shared" si="79"/>
        <v>19.99,</v>
      </c>
      <c r="CR309" s="360" t="str">
        <f t="shared" si="79"/>
        <v>0,</v>
      </c>
      <c r="CS309" s="360" t="str">
        <f t="shared" si="79"/>
        <v>0,</v>
      </c>
      <c r="CT309" s="360" t="str">
        <f t="shared" si="79"/>
        <v>25.4,</v>
      </c>
      <c r="CU309" s="360" t="str">
        <f t="shared" si="79"/>
        <v>0,</v>
      </c>
      <c r="CV309" s="360" t="str">
        <f t="shared" si="79"/>
        <v>0,</v>
      </c>
      <c r="CW309" s="360" t="str">
        <f t="shared" si="79"/>
        <v>0.37,</v>
      </c>
      <c r="CX309" s="360" t="str">
        <f t="shared" si="79"/>
        <v>0,</v>
      </c>
      <c r="CY309" s="360" t="str">
        <f t="shared" si="79"/>
        <v>0,</v>
      </c>
      <c r="CZ309" s="360" t="str">
        <f t="shared" si="79"/>
        <v>0,</v>
      </c>
      <c r="DA309" s="360">
        <v>18.21</v>
      </c>
      <c r="DK309" s="83">
        <v>50.0</v>
      </c>
      <c r="DM309" s="318" t="s">
        <v>581</v>
      </c>
      <c r="DN309" s="318" t="s">
        <v>276</v>
      </c>
      <c r="DO309" s="318" t="s">
        <v>582</v>
      </c>
      <c r="DP309" s="318" t="s">
        <v>276</v>
      </c>
      <c r="DQ309" s="318" t="s">
        <v>583</v>
      </c>
      <c r="DR309" s="318" t="s">
        <v>276</v>
      </c>
      <c r="DS309" s="318" t="s">
        <v>276</v>
      </c>
      <c r="DT309" s="361" t="s">
        <v>584</v>
      </c>
      <c r="DU309" s="41"/>
      <c r="DV309" s="41"/>
      <c r="DW309" s="41"/>
      <c r="DX309" s="318" t="s">
        <v>581</v>
      </c>
      <c r="DY309" s="318" t="s">
        <v>582</v>
      </c>
      <c r="DZ309" s="318" t="s">
        <v>585</v>
      </c>
      <c r="EA309" s="361">
        <v>0.0</v>
      </c>
      <c r="EB309" s="41"/>
      <c r="EC309" s="41"/>
      <c r="ED309" s="41"/>
      <c r="EE309" s="318" t="s">
        <v>581</v>
      </c>
      <c r="EF309" s="318" t="s">
        <v>582</v>
      </c>
      <c r="EG309" s="364">
        <v>34.05</v>
      </c>
    </row>
    <row r="310" ht="12.0" customHeight="1">
      <c r="S310" s="65">
        <v>26.0</v>
      </c>
      <c r="T310" s="90">
        <v>11.55</v>
      </c>
      <c r="U310" s="79">
        <v>17.91</v>
      </c>
      <c r="V310" s="79">
        <v>14.55</v>
      </c>
      <c r="W310" s="397">
        <v>21.06</v>
      </c>
      <c r="X310" s="79">
        <v>16.54</v>
      </c>
      <c r="Y310" s="81">
        <v>0.0</v>
      </c>
      <c r="Z310" s="79">
        <v>4.26</v>
      </c>
      <c r="AA310" s="81">
        <v>0.0</v>
      </c>
      <c r="AB310" s="79">
        <v>0.7</v>
      </c>
      <c r="AC310" s="79">
        <v>7.45</v>
      </c>
      <c r="AD310" s="79">
        <v>2.96</v>
      </c>
      <c r="AE310" s="81">
        <v>0.0</v>
      </c>
      <c r="AF310" s="81">
        <v>0.0</v>
      </c>
      <c r="AG310" s="79">
        <v>1.65</v>
      </c>
      <c r="AH310" s="82">
        <v>1.37</v>
      </c>
      <c r="CM310" s="360" t="str">
        <f t="shared" ref="CM310:CZ310" si="80">CL244&amp;","</f>
        <v>20.45,</v>
      </c>
      <c r="CN310" s="360" t="str">
        <f t="shared" si="80"/>
        <v>0,</v>
      </c>
      <c r="CO310" s="360" t="str">
        <f t="shared" si="80"/>
        <v>13.82,</v>
      </c>
      <c r="CP310" s="360" t="str">
        <f t="shared" si="80"/>
        <v>0.45,</v>
      </c>
      <c r="CQ310" s="360" t="str">
        <f t="shared" si="80"/>
        <v>6.69,</v>
      </c>
      <c r="CR310" s="360" t="str">
        <f t="shared" si="80"/>
        <v>0,</v>
      </c>
      <c r="CS310" s="360" t="str">
        <f t="shared" si="80"/>
        <v>0,</v>
      </c>
      <c r="CT310" s="360" t="str">
        <f t="shared" si="80"/>
        <v>22.42,</v>
      </c>
      <c r="CU310" s="360" t="str">
        <f t="shared" si="80"/>
        <v>0.11,</v>
      </c>
      <c r="CV310" s="360" t="str">
        <f t="shared" si="80"/>
        <v>0,</v>
      </c>
      <c r="CW310" s="360" t="str">
        <f t="shared" si="80"/>
        <v>3.16,</v>
      </c>
      <c r="CX310" s="360" t="str">
        <f t="shared" si="80"/>
        <v>0,</v>
      </c>
      <c r="CY310" s="360" t="str">
        <f t="shared" si="80"/>
        <v>0,</v>
      </c>
      <c r="CZ310" s="360" t="str">
        <f t="shared" si="80"/>
        <v>0,</v>
      </c>
      <c r="DA310" s="360">
        <v>32.9</v>
      </c>
      <c r="DK310" s="83">
        <v>51.0</v>
      </c>
      <c r="DM310" s="318" t="s">
        <v>586</v>
      </c>
      <c r="DN310" s="318" t="s">
        <v>276</v>
      </c>
      <c r="DO310" s="318" t="s">
        <v>443</v>
      </c>
      <c r="DP310" s="318" t="s">
        <v>587</v>
      </c>
      <c r="DQ310" s="318" t="s">
        <v>588</v>
      </c>
      <c r="DR310" s="318" t="s">
        <v>276</v>
      </c>
      <c r="DS310" s="318" t="s">
        <v>276</v>
      </c>
      <c r="DT310" s="361" t="s">
        <v>589</v>
      </c>
      <c r="DU310" s="41"/>
      <c r="DV310" s="41"/>
      <c r="DW310" s="41"/>
      <c r="DX310" s="318" t="s">
        <v>586</v>
      </c>
      <c r="DY310" s="318" t="s">
        <v>443</v>
      </c>
      <c r="DZ310" s="318" t="s">
        <v>590</v>
      </c>
      <c r="EA310" s="361">
        <v>5.54</v>
      </c>
      <c r="EB310" s="41"/>
      <c r="EC310" s="41"/>
      <c r="ED310" s="41"/>
      <c r="EE310" s="318" t="s">
        <v>591</v>
      </c>
      <c r="EF310" s="318" t="s">
        <v>443</v>
      </c>
      <c r="EG310" s="364">
        <v>23.34</v>
      </c>
    </row>
    <row r="311" ht="12.0" customHeight="1">
      <c r="S311" s="65">
        <v>27.0</v>
      </c>
      <c r="T311" s="90">
        <v>9.85</v>
      </c>
      <c r="U311" s="79">
        <v>23.71</v>
      </c>
      <c r="V311" s="79">
        <v>7.63</v>
      </c>
      <c r="W311" s="79">
        <v>20.84</v>
      </c>
      <c r="X311" s="79">
        <v>11.59</v>
      </c>
      <c r="Y311" s="81">
        <v>0.0</v>
      </c>
      <c r="Z311" s="81">
        <v>0.0</v>
      </c>
      <c r="AA311" s="81">
        <v>0.0</v>
      </c>
      <c r="AB311" s="81">
        <v>0.0</v>
      </c>
      <c r="AC311" s="399">
        <v>24.98</v>
      </c>
      <c r="AD311" s="79">
        <v>0.8</v>
      </c>
      <c r="AE311" s="81">
        <v>0.0</v>
      </c>
      <c r="AF311" s="79">
        <v>0.07</v>
      </c>
      <c r="AG311" s="79">
        <v>0.05</v>
      </c>
      <c r="AH311" s="82">
        <v>0.48</v>
      </c>
      <c r="CM311" s="360" t="str">
        <f t="shared" ref="CM311:CZ311" si="81">CL245&amp;","</f>
        <v>23.78,</v>
      </c>
      <c r="CN311" s="360" t="str">
        <f t="shared" si="81"/>
        <v>0,</v>
      </c>
      <c r="CO311" s="360" t="str">
        <f t="shared" si="81"/>
        <v>43.61,</v>
      </c>
      <c r="CP311" s="360" t="str">
        <f t="shared" si="81"/>
        <v>0.63,</v>
      </c>
      <c r="CQ311" s="360" t="str">
        <f t="shared" si="81"/>
        <v>2.02,</v>
      </c>
      <c r="CR311" s="360" t="str">
        <f t="shared" si="81"/>
        <v>0,</v>
      </c>
      <c r="CS311" s="360" t="str">
        <f t="shared" si="81"/>
        <v>0,</v>
      </c>
      <c r="CT311" s="360" t="str">
        <f t="shared" si="81"/>
        <v>18.14,</v>
      </c>
      <c r="CU311" s="360" t="str">
        <f t="shared" si="81"/>
        <v>0.14,</v>
      </c>
      <c r="CV311" s="360" t="str">
        <f t="shared" si="81"/>
        <v>0.01,</v>
      </c>
      <c r="CW311" s="360" t="str">
        <f t="shared" si="81"/>
        <v>0.62,</v>
      </c>
      <c r="CX311" s="360" t="str">
        <f t="shared" si="81"/>
        <v>0,</v>
      </c>
      <c r="CY311" s="360" t="str">
        <f t="shared" si="81"/>
        <v>0.92,</v>
      </c>
      <c r="CZ311" s="360" t="str">
        <f t="shared" si="81"/>
        <v>0,</v>
      </c>
      <c r="DA311" s="360">
        <v>10.13</v>
      </c>
      <c r="DK311" s="83">
        <v>52.0</v>
      </c>
      <c r="DM311" s="318" t="s">
        <v>592</v>
      </c>
      <c r="DN311" s="318" t="s">
        <v>276</v>
      </c>
      <c r="DO311" s="318" t="s">
        <v>593</v>
      </c>
      <c r="DP311" s="318" t="s">
        <v>276</v>
      </c>
      <c r="DQ311" s="318" t="s">
        <v>594</v>
      </c>
      <c r="DR311" s="318" t="s">
        <v>276</v>
      </c>
      <c r="DS311" s="318" t="s">
        <v>276</v>
      </c>
      <c r="DT311" s="361" t="s">
        <v>595</v>
      </c>
      <c r="DU311" s="41"/>
      <c r="DV311" s="41"/>
      <c r="DW311" s="41"/>
      <c r="DX311" s="318" t="s">
        <v>592</v>
      </c>
      <c r="DY311" s="318" t="s">
        <v>593</v>
      </c>
      <c r="DZ311" s="318" t="s">
        <v>594</v>
      </c>
      <c r="EA311" s="361">
        <v>0.0</v>
      </c>
      <c r="EB311" s="41"/>
      <c r="EC311" s="41"/>
      <c r="ED311" s="41"/>
      <c r="EE311" s="318" t="s">
        <v>592</v>
      </c>
      <c r="EF311" s="318" t="s">
        <v>593</v>
      </c>
      <c r="EG311" s="364">
        <v>25.4</v>
      </c>
    </row>
    <row r="312" ht="12.0" customHeight="1">
      <c r="S312" s="65">
        <v>28.0</v>
      </c>
      <c r="T312" s="90">
        <v>5.71</v>
      </c>
      <c r="U312" s="79">
        <v>20.73</v>
      </c>
      <c r="V312" s="79">
        <v>4.44</v>
      </c>
      <c r="W312" s="397">
        <v>29.94</v>
      </c>
      <c r="X312" s="79">
        <v>15.65</v>
      </c>
      <c r="Y312" s="81">
        <v>0.0</v>
      </c>
      <c r="Z312" s="79">
        <v>2.52</v>
      </c>
      <c r="AA312" s="81">
        <v>0.0</v>
      </c>
      <c r="AB312" s="81">
        <v>0.0</v>
      </c>
      <c r="AC312" s="79">
        <v>20.25</v>
      </c>
      <c r="AD312" s="81">
        <v>0.0</v>
      </c>
      <c r="AE312" s="81">
        <v>0.0</v>
      </c>
      <c r="AF312" s="81">
        <v>0.0</v>
      </c>
      <c r="AG312" s="79">
        <v>0.04</v>
      </c>
      <c r="AH312" s="82">
        <v>0.72</v>
      </c>
      <c r="CM312" s="360" t="str">
        <f t="shared" ref="CM312:CZ312" si="82">CL246&amp;","</f>
        <v>28.1,</v>
      </c>
      <c r="CN312" s="360" t="str">
        <f t="shared" si="82"/>
        <v>0,</v>
      </c>
      <c r="CO312" s="360" t="str">
        <f t="shared" si="82"/>
        <v>36.86,</v>
      </c>
      <c r="CP312" s="360" t="str">
        <f t="shared" si="82"/>
        <v>2.66,</v>
      </c>
      <c r="CQ312" s="360" t="str">
        <f t="shared" si="82"/>
        <v>2.78,</v>
      </c>
      <c r="CR312" s="360" t="str">
        <f t="shared" si="82"/>
        <v>0,</v>
      </c>
      <c r="CS312" s="360" t="str">
        <f t="shared" si="82"/>
        <v>0,</v>
      </c>
      <c r="CT312" s="360" t="str">
        <f t="shared" si="82"/>
        <v>21.58,</v>
      </c>
      <c r="CU312" s="360" t="str">
        <f t="shared" si="82"/>
        <v>0,</v>
      </c>
      <c r="CV312" s="360" t="str">
        <f t="shared" si="82"/>
        <v>0,</v>
      </c>
      <c r="CW312" s="360" t="str">
        <f t="shared" si="82"/>
        <v>0.05,</v>
      </c>
      <c r="CX312" s="360" t="str">
        <f t="shared" si="82"/>
        <v>0,</v>
      </c>
      <c r="CY312" s="360" t="str">
        <f t="shared" si="82"/>
        <v>0,</v>
      </c>
      <c r="CZ312" s="360" t="str">
        <f t="shared" si="82"/>
        <v>0,</v>
      </c>
      <c r="DA312" s="360">
        <v>7.97</v>
      </c>
      <c r="DK312" s="83">
        <v>53.0</v>
      </c>
      <c r="DM312" s="318" t="s">
        <v>596</v>
      </c>
      <c r="DN312" s="318" t="s">
        <v>276</v>
      </c>
      <c r="DO312" s="318" t="s">
        <v>597</v>
      </c>
      <c r="DP312" s="318" t="s">
        <v>276</v>
      </c>
      <c r="DQ312" s="318" t="s">
        <v>598</v>
      </c>
      <c r="DR312" s="318" t="s">
        <v>276</v>
      </c>
      <c r="DS312" s="318" t="s">
        <v>276</v>
      </c>
      <c r="DT312" s="361" t="s">
        <v>599</v>
      </c>
      <c r="DU312" s="41"/>
      <c r="DV312" s="41"/>
      <c r="DW312" s="41"/>
      <c r="DX312" s="318" t="s">
        <v>596</v>
      </c>
      <c r="DY312" s="318" t="s">
        <v>597</v>
      </c>
      <c r="DZ312" s="318" t="s">
        <v>598</v>
      </c>
      <c r="EA312" s="361">
        <v>0.0</v>
      </c>
      <c r="EB312" s="41"/>
      <c r="EC312" s="41"/>
      <c r="ED312" s="41"/>
      <c r="EE312" s="318" t="s">
        <v>596</v>
      </c>
      <c r="EF312" s="318" t="s">
        <v>597</v>
      </c>
      <c r="EG312" s="364">
        <v>22.42</v>
      </c>
    </row>
    <row r="313" ht="12.0" customHeight="1">
      <c r="S313" s="65">
        <v>29.0</v>
      </c>
      <c r="T313" s="76">
        <v>62.29</v>
      </c>
      <c r="U313" s="79">
        <v>11.35</v>
      </c>
      <c r="V313" s="79">
        <v>1.98</v>
      </c>
      <c r="W313" s="81">
        <v>0.0</v>
      </c>
      <c r="X313" s="79">
        <v>1.64</v>
      </c>
      <c r="Y313" s="79">
        <v>22.22</v>
      </c>
      <c r="Z313" s="81">
        <v>0.0</v>
      </c>
      <c r="AA313" s="81">
        <v>0.0</v>
      </c>
      <c r="AB313" s="81">
        <v>0.0</v>
      </c>
      <c r="AC313" s="81">
        <v>0.0</v>
      </c>
      <c r="AD313" s="81">
        <v>0.0</v>
      </c>
      <c r="AE313" s="81">
        <v>0.0</v>
      </c>
      <c r="AF313" s="81">
        <v>0.0</v>
      </c>
      <c r="AG313" s="81">
        <v>0.0</v>
      </c>
      <c r="AH313" s="82">
        <v>0.52</v>
      </c>
      <c r="CM313" s="360" t="str">
        <f t="shared" ref="CM313:CZ313" si="83">CL247&amp;","</f>
        <v>0,</v>
      </c>
      <c r="CN313" s="360" t="str">
        <f t="shared" si="83"/>
        <v>84.48,</v>
      </c>
      <c r="CO313" s="360" t="str">
        <f t="shared" si="83"/>
        <v>0,</v>
      </c>
      <c r="CP313" s="360" t="str">
        <f t="shared" si="83"/>
        <v>2.76,</v>
      </c>
      <c r="CQ313" s="360" t="str">
        <f t="shared" si="83"/>
        <v>2.3,</v>
      </c>
      <c r="CR313" s="360" t="str">
        <f t="shared" si="83"/>
        <v>0,</v>
      </c>
      <c r="CS313" s="360" t="str">
        <f t="shared" si="83"/>
        <v>3.24,</v>
      </c>
      <c r="CT313" s="360" t="str">
        <f t="shared" si="83"/>
        <v>0,</v>
      </c>
      <c r="CU313" s="360" t="str">
        <f t="shared" si="83"/>
        <v>0,</v>
      </c>
      <c r="CV313" s="360" t="str">
        <f t="shared" si="83"/>
        <v>0,</v>
      </c>
      <c r="CW313" s="360" t="str">
        <f t="shared" si="83"/>
        <v>0,</v>
      </c>
      <c r="CX313" s="360" t="str">
        <f t="shared" si="83"/>
        <v>0,</v>
      </c>
      <c r="CY313" s="360" t="str">
        <f t="shared" si="83"/>
        <v>0,</v>
      </c>
      <c r="CZ313" s="360" t="str">
        <f t="shared" si="83"/>
        <v>1.05,</v>
      </c>
      <c r="DA313" s="360">
        <v>6.17</v>
      </c>
      <c r="DK313" s="83">
        <v>54.0</v>
      </c>
      <c r="DM313" s="318" t="s">
        <v>600</v>
      </c>
      <c r="DN313" s="318" t="s">
        <v>276</v>
      </c>
      <c r="DO313" s="318" t="s">
        <v>601</v>
      </c>
      <c r="DP313" s="318" t="s">
        <v>276</v>
      </c>
      <c r="DQ313" s="318" t="s">
        <v>602</v>
      </c>
      <c r="DR313" s="318" t="s">
        <v>276</v>
      </c>
      <c r="DS313" s="318" t="s">
        <v>276</v>
      </c>
      <c r="DT313" s="361" t="s">
        <v>603</v>
      </c>
      <c r="DU313" s="41"/>
      <c r="DV313" s="41"/>
      <c r="DW313" s="41"/>
      <c r="DX313" s="318" t="s">
        <v>600</v>
      </c>
      <c r="DY313" s="318" t="s">
        <v>601</v>
      </c>
      <c r="DZ313" s="318" t="s">
        <v>419</v>
      </c>
      <c r="EA313" s="361">
        <v>0.0</v>
      </c>
      <c r="EB313" s="41"/>
      <c r="EC313" s="41"/>
      <c r="ED313" s="41"/>
      <c r="EE313" s="318" t="s">
        <v>600</v>
      </c>
      <c r="EF313" s="318" t="s">
        <v>601</v>
      </c>
      <c r="EG313" s="364">
        <v>28.270000000000003</v>
      </c>
    </row>
    <row r="314" ht="12.0" customHeight="1">
      <c r="S314" s="65">
        <v>30.0</v>
      </c>
      <c r="T314" s="76">
        <v>47.0</v>
      </c>
      <c r="U314" s="79">
        <v>22.39</v>
      </c>
      <c r="V314" s="79">
        <v>3.83</v>
      </c>
      <c r="W314" s="81">
        <v>0.0</v>
      </c>
      <c r="X314" s="79">
        <v>1.57</v>
      </c>
      <c r="Y314" s="79">
        <v>24.16</v>
      </c>
      <c r="Z314" s="81">
        <v>0.0</v>
      </c>
      <c r="AA314" s="81">
        <v>0.0</v>
      </c>
      <c r="AB314" s="79">
        <v>0.05</v>
      </c>
      <c r="AC314" s="81">
        <v>0.0</v>
      </c>
      <c r="AD314" s="81">
        <v>0.0</v>
      </c>
      <c r="AE314" s="81">
        <v>0.0</v>
      </c>
      <c r="AF314" s="81">
        <v>0.0</v>
      </c>
      <c r="AG314" s="81">
        <v>0.0</v>
      </c>
      <c r="AH314" s="82">
        <v>1.0</v>
      </c>
      <c r="CM314" s="360" t="str">
        <f t="shared" ref="CM314:CZ314" si="84">CL248&amp;","</f>
        <v>5.02,</v>
      </c>
      <c r="CN314" s="360" t="str">
        <f t="shared" si="84"/>
        <v>66.3,</v>
      </c>
      <c r="CO314" s="360" t="str">
        <f t="shared" si="84"/>
        <v>0,</v>
      </c>
      <c r="CP314" s="360" t="str">
        <f t="shared" si="84"/>
        <v>3.76,</v>
      </c>
      <c r="CQ314" s="360" t="str">
        <f t="shared" si="84"/>
        <v>1.24,</v>
      </c>
      <c r="CR314" s="360" t="str">
        <f t="shared" si="84"/>
        <v>0,</v>
      </c>
      <c r="CS314" s="360" t="str">
        <f t="shared" si="84"/>
        <v>0,</v>
      </c>
      <c r="CT314" s="360" t="str">
        <f t="shared" si="84"/>
        <v>0,</v>
      </c>
      <c r="CU314" s="360" t="str">
        <f t="shared" si="84"/>
        <v>0,</v>
      </c>
      <c r="CV314" s="360" t="str">
        <f t="shared" si="84"/>
        <v>0,</v>
      </c>
      <c r="CW314" s="360" t="str">
        <f t="shared" si="84"/>
        <v>0,</v>
      </c>
      <c r="CX314" s="360" t="str">
        <f t="shared" si="84"/>
        <v>0,</v>
      </c>
      <c r="CY314" s="360" t="str">
        <f t="shared" si="84"/>
        <v>0,</v>
      </c>
      <c r="CZ314" s="360" t="str">
        <f t="shared" si="84"/>
        <v>2.61,</v>
      </c>
      <c r="DA314" s="360">
        <v>21.07</v>
      </c>
      <c r="DK314" s="83">
        <v>55.0</v>
      </c>
      <c r="DM314" s="318" t="s">
        <v>604</v>
      </c>
      <c r="DN314" s="318" t="s">
        <v>276</v>
      </c>
      <c r="DO314" s="318" t="s">
        <v>605</v>
      </c>
      <c r="DP314" s="318" t="s">
        <v>276</v>
      </c>
      <c r="DQ314" s="318" t="s">
        <v>299</v>
      </c>
      <c r="DR314" s="318" t="s">
        <v>276</v>
      </c>
      <c r="DS314" s="318" t="s">
        <v>276</v>
      </c>
      <c r="DT314" s="361" t="s">
        <v>606</v>
      </c>
      <c r="DU314" s="41"/>
      <c r="DV314" s="41"/>
      <c r="DW314" s="41"/>
      <c r="DX314" s="318" t="s">
        <v>604</v>
      </c>
      <c r="DY314" s="318" t="s">
        <v>605</v>
      </c>
      <c r="DZ314" s="318" t="s">
        <v>299</v>
      </c>
      <c r="EA314" s="361">
        <v>0.0</v>
      </c>
      <c r="EB314" s="41"/>
      <c r="EC314" s="41"/>
      <c r="ED314" s="41"/>
      <c r="EE314" s="318" t="s">
        <v>604</v>
      </c>
      <c r="EF314" s="318" t="s">
        <v>605</v>
      </c>
      <c r="EG314" s="364">
        <v>21.58</v>
      </c>
    </row>
    <row r="315" ht="12.0" customHeight="1">
      <c r="S315" s="65">
        <v>31.0</v>
      </c>
      <c r="T315" s="76">
        <v>57.05</v>
      </c>
      <c r="U315" s="79">
        <v>12.89</v>
      </c>
      <c r="V315" s="79">
        <v>3.61</v>
      </c>
      <c r="W315" s="81">
        <v>0.0</v>
      </c>
      <c r="X315" s="81">
        <v>0.0</v>
      </c>
      <c r="Y315" s="79">
        <v>26.05</v>
      </c>
      <c r="Z315" s="81">
        <v>0.0</v>
      </c>
      <c r="AA315" s="81">
        <v>0.0</v>
      </c>
      <c r="AB315" s="81">
        <v>0.0</v>
      </c>
      <c r="AC315" s="81">
        <v>0.0</v>
      </c>
      <c r="AD315" s="81">
        <v>0.0</v>
      </c>
      <c r="AE315" s="81">
        <v>0.0</v>
      </c>
      <c r="AF315" s="81">
        <v>0.0</v>
      </c>
      <c r="AG315" s="81">
        <v>0.0</v>
      </c>
      <c r="AH315" s="82">
        <v>0.4</v>
      </c>
      <c r="CM315" s="360" t="str">
        <f t="shared" ref="CM315:CZ315" si="85">CL249&amp;","</f>
        <v>3.06,</v>
      </c>
      <c r="CN315" s="360" t="str">
        <f t="shared" si="85"/>
        <v>87.47,</v>
      </c>
      <c r="CO315" s="360" t="str">
        <f t="shared" si="85"/>
        <v>0,</v>
      </c>
      <c r="CP315" s="360" t="str">
        <f t="shared" si="85"/>
        <v>0.73,</v>
      </c>
      <c r="CQ315" s="360" t="str">
        <f t="shared" si="85"/>
        <v>0,</v>
      </c>
      <c r="CR315" s="360" t="str">
        <f t="shared" si="85"/>
        <v>0,</v>
      </c>
      <c r="CS315" s="360" t="str">
        <f t="shared" si="85"/>
        <v>0,</v>
      </c>
      <c r="CT315" s="360" t="str">
        <f t="shared" si="85"/>
        <v>0,</v>
      </c>
      <c r="CU315" s="360" t="str">
        <f t="shared" si="85"/>
        <v>0,</v>
      </c>
      <c r="CV315" s="360" t="str">
        <f t="shared" si="85"/>
        <v>0,</v>
      </c>
      <c r="CW315" s="360" t="str">
        <f t="shared" si="85"/>
        <v>0,</v>
      </c>
      <c r="CX315" s="360" t="str">
        <f t="shared" si="85"/>
        <v>0,</v>
      </c>
      <c r="CY315" s="360" t="str">
        <f t="shared" si="85"/>
        <v>0,</v>
      </c>
      <c r="CZ315" s="360" t="str">
        <f t="shared" si="85"/>
        <v>1.17,</v>
      </c>
      <c r="DA315" s="360">
        <v>7.57</v>
      </c>
      <c r="DK315" s="83">
        <v>56.0</v>
      </c>
      <c r="DM315" s="318" t="s">
        <v>276</v>
      </c>
      <c r="DN315" s="318" t="s">
        <v>607</v>
      </c>
      <c r="DO315" s="318" t="s">
        <v>608</v>
      </c>
      <c r="DP315" s="318" t="s">
        <v>609</v>
      </c>
      <c r="DQ315" s="318" t="s">
        <v>276</v>
      </c>
      <c r="DR315" s="318" t="s">
        <v>276</v>
      </c>
      <c r="DS315" s="318" t="s">
        <v>294</v>
      </c>
      <c r="DT315" s="361" t="s">
        <v>610</v>
      </c>
      <c r="DU315" s="41"/>
      <c r="DV315" s="41"/>
      <c r="DW315" s="41"/>
      <c r="DX315" s="318" t="s">
        <v>276</v>
      </c>
      <c r="DY315" s="318" t="s">
        <v>608</v>
      </c>
      <c r="DZ315" s="318" t="s">
        <v>611</v>
      </c>
      <c r="EA315" s="361">
        <v>3.24</v>
      </c>
      <c r="EB315" s="41"/>
      <c r="EC315" s="41"/>
      <c r="ED315" s="41"/>
      <c r="EE315" s="318" t="s">
        <v>609</v>
      </c>
      <c r="EF315" s="318" t="s">
        <v>608</v>
      </c>
      <c r="EG315" s="364">
        <v>91.7</v>
      </c>
    </row>
    <row r="316" ht="12.0" customHeight="1">
      <c r="S316" s="65">
        <v>32.0</v>
      </c>
      <c r="T316" s="76">
        <v>47.47</v>
      </c>
      <c r="U316" s="79">
        <v>19.91</v>
      </c>
      <c r="V316" s="79">
        <v>1.09</v>
      </c>
      <c r="W316" s="81">
        <v>0.0</v>
      </c>
      <c r="X316" s="79">
        <v>3.55</v>
      </c>
      <c r="Y316" s="79">
        <v>27.0</v>
      </c>
      <c r="Z316" s="81">
        <v>0.0</v>
      </c>
      <c r="AA316" s="81">
        <v>0.0</v>
      </c>
      <c r="AB316" s="81">
        <v>0.0</v>
      </c>
      <c r="AC316" s="81">
        <v>0.0</v>
      </c>
      <c r="AD316" s="81">
        <v>0.0</v>
      </c>
      <c r="AE316" s="81">
        <v>0.0</v>
      </c>
      <c r="AF316" s="81">
        <v>0.0</v>
      </c>
      <c r="AG316" s="81">
        <v>0.0</v>
      </c>
      <c r="AH316" s="82">
        <v>0.98</v>
      </c>
      <c r="CM316" s="360" t="str">
        <f t="shared" ref="CM316:CZ316" si="86">CL250&amp;","</f>
        <v>0,</v>
      </c>
      <c r="CN316" s="360" t="str">
        <f t="shared" si="86"/>
        <v>40.08,</v>
      </c>
      <c r="CO316" s="360" t="str">
        <f t="shared" si="86"/>
        <v>0,</v>
      </c>
      <c r="CP316" s="360" t="str">
        <f t="shared" si="86"/>
        <v>12.17,</v>
      </c>
      <c r="CQ316" s="360" t="str">
        <f t="shared" si="86"/>
        <v>18.78,</v>
      </c>
      <c r="CR316" s="360" t="str">
        <f t="shared" si="86"/>
        <v>0,</v>
      </c>
      <c r="CS316" s="360" t="str">
        <f t="shared" si="86"/>
        <v>0,</v>
      </c>
      <c r="CT316" s="360" t="str">
        <f t="shared" si="86"/>
        <v>0,</v>
      </c>
      <c r="CU316" s="360" t="str">
        <f t="shared" si="86"/>
        <v>7.76,</v>
      </c>
      <c r="CV316" s="360" t="str">
        <f t="shared" si="86"/>
        <v>0,</v>
      </c>
      <c r="CW316" s="360" t="str">
        <f t="shared" si="86"/>
        <v>1.68,</v>
      </c>
      <c r="CX316" s="360" t="str">
        <f t="shared" si="86"/>
        <v>0,</v>
      </c>
      <c r="CY316" s="360" t="str">
        <f t="shared" si="86"/>
        <v>0,</v>
      </c>
      <c r="CZ316" s="360" t="str">
        <f t="shared" si="86"/>
        <v>0.79,</v>
      </c>
      <c r="DA316" s="360">
        <v>18.74</v>
      </c>
      <c r="DK316" s="83">
        <v>57.0</v>
      </c>
      <c r="DM316" s="318" t="s">
        <v>612</v>
      </c>
      <c r="DN316" s="318" t="s">
        <v>613</v>
      </c>
      <c r="DO316" s="318" t="s">
        <v>614</v>
      </c>
      <c r="DP316" s="318" t="s">
        <v>276</v>
      </c>
      <c r="DQ316" s="318" t="s">
        <v>276</v>
      </c>
      <c r="DR316" s="318" t="s">
        <v>276</v>
      </c>
      <c r="DS316" s="318" t="s">
        <v>615</v>
      </c>
      <c r="DT316" s="361" t="s">
        <v>616</v>
      </c>
      <c r="DU316" s="41"/>
      <c r="DV316" s="41"/>
      <c r="DW316" s="41"/>
      <c r="DX316" s="318" t="s">
        <v>612</v>
      </c>
      <c r="DY316" s="318" t="s">
        <v>614</v>
      </c>
      <c r="DZ316" s="318" t="s">
        <v>617</v>
      </c>
      <c r="EA316" s="361">
        <v>0.0</v>
      </c>
      <c r="EB316" s="41"/>
      <c r="EC316" s="41"/>
      <c r="ED316" s="41"/>
      <c r="EE316" s="318" t="s">
        <v>612</v>
      </c>
      <c r="EF316" s="318" t="s">
        <v>614</v>
      </c>
      <c r="EG316" s="364">
        <v>89.97999999999999</v>
      </c>
    </row>
    <row r="317" ht="12.0" customHeight="1">
      <c r="S317" s="65">
        <v>33.0</v>
      </c>
      <c r="T317" s="76">
        <v>48.47</v>
      </c>
      <c r="U317" s="79">
        <v>12.86</v>
      </c>
      <c r="V317" s="79">
        <v>4.02</v>
      </c>
      <c r="W317" s="79">
        <v>1.26</v>
      </c>
      <c r="X317" s="79">
        <v>2.36</v>
      </c>
      <c r="Y317" s="79">
        <v>30.8</v>
      </c>
      <c r="Z317" s="81">
        <v>0.0</v>
      </c>
      <c r="AA317" s="81">
        <v>0.0</v>
      </c>
      <c r="AB317" s="81">
        <v>0.0</v>
      </c>
      <c r="AC317" s="81">
        <v>0.0</v>
      </c>
      <c r="AD317" s="81">
        <v>0.0</v>
      </c>
      <c r="AE317" s="81">
        <v>0.0</v>
      </c>
      <c r="AF317" s="81">
        <v>0.0</v>
      </c>
      <c r="AG317" s="81">
        <v>0.0</v>
      </c>
      <c r="AH317" s="82">
        <v>0.23</v>
      </c>
      <c r="CM317" s="360" t="str">
        <f t="shared" ref="CM317:CZ317" si="87">CL251&amp;","</f>
        <v>0,</v>
      </c>
      <c r="CN317" s="360" t="str">
        <f t="shared" si="87"/>
        <v>24.91,</v>
      </c>
      <c r="CO317" s="360" t="str">
        <f t="shared" si="87"/>
        <v>0,</v>
      </c>
      <c r="CP317" s="360" t="str">
        <f t="shared" si="87"/>
        <v>21.33,</v>
      </c>
      <c r="CQ317" s="360" t="str">
        <f t="shared" si="87"/>
        <v>42.61,</v>
      </c>
      <c r="CR317" s="360" t="str">
        <f t="shared" si="87"/>
        <v>0,</v>
      </c>
      <c r="CS317" s="360" t="str">
        <f t="shared" si="87"/>
        <v>0,</v>
      </c>
      <c r="CT317" s="360" t="str">
        <f t="shared" si="87"/>
        <v>0,</v>
      </c>
      <c r="CU317" s="360" t="str">
        <f t="shared" si="87"/>
        <v>0,</v>
      </c>
      <c r="CV317" s="360" t="str">
        <f t="shared" si="87"/>
        <v>0,</v>
      </c>
      <c r="CW317" s="360" t="str">
        <f t="shared" si="87"/>
        <v>1.85,</v>
      </c>
      <c r="CX317" s="360" t="str">
        <f t="shared" si="87"/>
        <v>0,</v>
      </c>
      <c r="CY317" s="360" t="str">
        <f t="shared" si="87"/>
        <v>0,</v>
      </c>
      <c r="CZ317" s="360" t="str">
        <f t="shared" si="87"/>
        <v>0.27,</v>
      </c>
      <c r="DA317" s="360">
        <v>9.03</v>
      </c>
      <c r="DK317" s="83">
        <v>58.0</v>
      </c>
      <c r="DM317" s="318" t="s">
        <v>618</v>
      </c>
      <c r="DN317" s="318" t="s">
        <v>619</v>
      </c>
      <c r="DO317" s="318" t="s">
        <v>620</v>
      </c>
      <c r="DP317" s="318" t="s">
        <v>276</v>
      </c>
      <c r="DQ317" s="318" t="s">
        <v>276</v>
      </c>
      <c r="DR317" s="318" t="s">
        <v>276</v>
      </c>
      <c r="DS317" s="318" t="s">
        <v>621</v>
      </c>
      <c r="DT317" s="361" t="s">
        <v>622</v>
      </c>
      <c r="DU317" s="41"/>
      <c r="DV317" s="41"/>
      <c r="DW317" s="41"/>
      <c r="DX317" s="318" t="s">
        <v>618</v>
      </c>
      <c r="DY317" s="318" t="s">
        <v>620</v>
      </c>
      <c r="DZ317" s="318" t="s">
        <v>623</v>
      </c>
      <c r="EA317" s="361">
        <v>0.0</v>
      </c>
      <c r="EB317" s="41"/>
      <c r="EC317" s="41"/>
      <c r="ED317" s="41"/>
      <c r="EE317" s="318" t="s">
        <v>618</v>
      </c>
      <c r="EF317" s="318" t="s">
        <v>620</v>
      </c>
      <c r="EG317" s="364">
        <v>96.21000000000001</v>
      </c>
    </row>
    <row r="318" ht="12.0" customHeight="1">
      <c r="S318" s="65">
        <v>34.0</v>
      </c>
      <c r="T318" s="76">
        <v>75.99</v>
      </c>
      <c r="U318" s="79">
        <v>0.01</v>
      </c>
      <c r="V318" s="81">
        <v>0.0</v>
      </c>
      <c r="W318" s="81">
        <v>0.0</v>
      </c>
      <c r="X318" s="79">
        <v>3.59</v>
      </c>
      <c r="Y318" s="79">
        <v>16.65</v>
      </c>
      <c r="Z318" s="81">
        <v>0.0</v>
      </c>
      <c r="AA318" s="81">
        <v>0.0</v>
      </c>
      <c r="AB318" s="79">
        <v>2.08</v>
      </c>
      <c r="AC318" s="81">
        <v>0.0</v>
      </c>
      <c r="AD318" s="81">
        <v>0.0</v>
      </c>
      <c r="AE318" s="81">
        <v>0.0</v>
      </c>
      <c r="AF318" s="81">
        <v>0.0</v>
      </c>
      <c r="AG318" s="81">
        <v>0.0</v>
      </c>
      <c r="AH318" s="82">
        <v>1.68</v>
      </c>
      <c r="CM318" s="360" t="str">
        <f t="shared" ref="CM318:CZ318" si="88">CJ252&amp;","</f>
        <v>0,</v>
      </c>
      <c r="CN318" s="360" t="str">
        <f t="shared" si="88"/>
        <v>45.68,</v>
      </c>
      <c r="CO318" s="360" t="str">
        <f t="shared" si="88"/>
        <v>0,</v>
      </c>
      <c r="CP318" s="360" t="str">
        <f t="shared" si="88"/>
        <v>31.59,</v>
      </c>
      <c r="CQ318" s="360" t="str">
        <f t="shared" si="88"/>
        <v>0,</v>
      </c>
      <c r="CR318" s="360" t="str">
        <f t="shared" si="88"/>
        <v>0,</v>
      </c>
      <c r="CS318" s="360" t="str">
        <f t="shared" si="88"/>
        <v>5.5,</v>
      </c>
      <c r="CT318" s="360" t="str">
        <f t="shared" si="88"/>
        <v>0,</v>
      </c>
      <c r="CU318" s="360" t="str">
        <f t="shared" si="88"/>
        <v>0,</v>
      </c>
      <c r="CV318" s="360" t="str">
        <f t="shared" si="88"/>
        <v>0,</v>
      </c>
      <c r="CW318" s="360" t="str">
        <f t="shared" si="88"/>
        <v>0.74,</v>
      </c>
      <c r="CX318" s="360" t="str">
        <f t="shared" si="88"/>
        <v>0,</v>
      </c>
      <c r="CY318" s="360" t="str">
        <f t="shared" si="88"/>
        <v>0,</v>
      </c>
      <c r="CZ318" s="360" t="str">
        <f t="shared" si="88"/>
        <v>0.61,</v>
      </c>
      <c r="DA318" s="360">
        <v>15.88</v>
      </c>
      <c r="DK318" s="83">
        <v>59.0</v>
      </c>
      <c r="DM318" s="318" t="s">
        <v>276</v>
      </c>
      <c r="DN318" s="318" t="s">
        <v>624</v>
      </c>
      <c r="DO318" s="318" t="s">
        <v>625</v>
      </c>
      <c r="DP318" s="318" t="s">
        <v>276</v>
      </c>
      <c r="DQ318" s="318" t="s">
        <v>276</v>
      </c>
      <c r="DR318" s="318" t="s">
        <v>276</v>
      </c>
      <c r="DS318" s="318" t="s">
        <v>626</v>
      </c>
      <c r="DT318" s="361" t="s">
        <v>627</v>
      </c>
      <c r="DU318" s="41"/>
      <c r="DV318" s="41"/>
      <c r="DW318" s="41"/>
      <c r="DX318" s="318" t="s">
        <v>276</v>
      </c>
      <c r="DY318" s="318" t="s">
        <v>625</v>
      </c>
      <c r="DZ318" s="318" t="s">
        <v>304</v>
      </c>
      <c r="EA318" s="361">
        <v>0.0</v>
      </c>
      <c r="EB318" s="41"/>
      <c r="EC318" s="41"/>
      <c r="ED318" s="41"/>
      <c r="EE318" s="318" t="s">
        <v>276</v>
      </c>
      <c r="EF318" s="318" t="s">
        <v>625</v>
      </c>
      <c r="EG318" s="364">
        <v>59.61</v>
      </c>
    </row>
    <row r="319" ht="12.0" customHeight="1">
      <c r="S319" s="65">
        <v>35.0</v>
      </c>
      <c r="T319" s="76">
        <v>50.9</v>
      </c>
      <c r="U319" s="79">
        <v>10.96</v>
      </c>
      <c r="V319" s="79">
        <v>6.54</v>
      </c>
      <c r="W319" s="81">
        <v>0.0</v>
      </c>
      <c r="X319" s="79">
        <v>0.41</v>
      </c>
      <c r="Y319" s="79">
        <v>30.79</v>
      </c>
      <c r="Z319" s="81">
        <v>0.0</v>
      </c>
      <c r="AA319" s="81">
        <v>0.0</v>
      </c>
      <c r="AB319" s="81">
        <v>0.0</v>
      </c>
      <c r="AC319" s="81">
        <v>0.0</v>
      </c>
      <c r="AD319" s="81">
        <v>0.0</v>
      </c>
      <c r="AE319" s="81">
        <v>0.0</v>
      </c>
      <c r="AF319" s="81">
        <v>0.0</v>
      </c>
      <c r="AG319" s="81">
        <v>0.0</v>
      </c>
      <c r="AH319" s="82">
        <v>0.4</v>
      </c>
      <c r="CM319" s="360" t="str">
        <f t="shared" ref="CM319:CZ319" si="89">CJ253&amp;","</f>
        <v>12,</v>
      </c>
      <c r="CN319" s="360" t="str">
        <f t="shared" si="89"/>
        <v>26.94,</v>
      </c>
      <c r="CO319" s="360" t="str">
        <f t="shared" si="89"/>
        <v>22.75,</v>
      </c>
      <c r="CP319" s="360" t="str">
        <f t="shared" si="89"/>
        <v>34.22,</v>
      </c>
      <c r="CQ319" s="360" t="str">
        <f t="shared" si="89"/>
        <v>0,</v>
      </c>
      <c r="CR319" s="360" t="str">
        <f t="shared" si="89"/>
        <v>0,</v>
      </c>
      <c r="CS319" s="360" t="str">
        <f t="shared" si="89"/>
        <v>0,</v>
      </c>
      <c r="CT319" s="360" t="str">
        <f t="shared" si="89"/>
        <v>0,</v>
      </c>
      <c r="CU319" s="360" t="str">
        <f t="shared" si="89"/>
        <v>2.84,</v>
      </c>
      <c r="CV319" s="360" t="str">
        <f t="shared" si="89"/>
        <v>0,</v>
      </c>
      <c r="CW319" s="360" t="str">
        <f t="shared" si="89"/>
        <v>0,</v>
      </c>
      <c r="CX319" s="360" t="str">
        <f t="shared" si="89"/>
        <v>0,</v>
      </c>
      <c r="CY319" s="360" t="str">
        <f t="shared" si="89"/>
        <v>0,</v>
      </c>
      <c r="CZ319" s="360" t="str">
        <f t="shared" si="89"/>
        <v>0,</v>
      </c>
      <c r="DA319" s="360">
        <v>1.25</v>
      </c>
      <c r="DK319" s="83">
        <v>60.0</v>
      </c>
      <c r="DM319" s="318" t="s">
        <v>276</v>
      </c>
      <c r="DN319" s="318" t="s">
        <v>628</v>
      </c>
      <c r="DO319" s="318" t="s">
        <v>629</v>
      </c>
      <c r="DP319" s="318" t="s">
        <v>276</v>
      </c>
      <c r="DQ319" s="318" t="s">
        <v>276</v>
      </c>
      <c r="DR319" s="318" t="s">
        <v>276</v>
      </c>
      <c r="DS319" s="318" t="s">
        <v>630</v>
      </c>
      <c r="DT319" s="361" t="s">
        <v>631</v>
      </c>
      <c r="DU319" s="41"/>
      <c r="DV319" s="41"/>
      <c r="DW319" s="41"/>
      <c r="DX319" s="318" t="s">
        <v>276</v>
      </c>
      <c r="DY319" s="318" t="s">
        <v>629</v>
      </c>
      <c r="DZ319" s="318" t="s">
        <v>632</v>
      </c>
      <c r="EA319" s="361">
        <v>0.0</v>
      </c>
      <c r="EB319" s="41"/>
      <c r="EC319" s="41"/>
      <c r="ED319" s="41"/>
      <c r="EE319" s="318" t="s">
        <v>276</v>
      </c>
      <c r="EF319" s="318" t="s">
        <v>629</v>
      </c>
      <c r="EG319" s="364">
        <v>34.21</v>
      </c>
    </row>
    <row r="320" ht="12.0" customHeight="1">
      <c r="S320" s="65">
        <v>36.0</v>
      </c>
      <c r="T320" s="76">
        <v>46.97</v>
      </c>
      <c r="U320" s="79">
        <v>22.37</v>
      </c>
      <c r="V320" s="79">
        <v>2.24</v>
      </c>
      <c r="W320" s="81">
        <v>0.0</v>
      </c>
      <c r="X320" s="79">
        <v>0.12</v>
      </c>
      <c r="Y320" s="79">
        <v>28.14</v>
      </c>
      <c r="Z320" s="81">
        <v>0.0</v>
      </c>
      <c r="AA320" s="79">
        <v>0.02</v>
      </c>
      <c r="AB320" s="81">
        <v>0.0</v>
      </c>
      <c r="AC320" s="81">
        <v>0.0</v>
      </c>
      <c r="AD320" s="81">
        <v>0.0</v>
      </c>
      <c r="AE320" s="81">
        <v>0.0</v>
      </c>
      <c r="AF320" s="81">
        <v>0.0</v>
      </c>
      <c r="AG320" s="81">
        <v>0.0</v>
      </c>
      <c r="AH320" s="82">
        <v>0.14</v>
      </c>
      <c r="CM320" s="360" t="str">
        <f t="shared" ref="CM320:CZ320" si="90">CJ254&amp;","</f>
        <v>30.52,</v>
      </c>
      <c r="CN320" s="360" t="str">
        <f t="shared" si="90"/>
        <v>12.18,</v>
      </c>
      <c r="CO320" s="360" t="str">
        <f t="shared" si="90"/>
        <v>15.77,</v>
      </c>
      <c r="CP320" s="360" t="str">
        <f t="shared" si="90"/>
        <v>13.33,</v>
      </c>
      <c r="CQ320" s="360" t="str">
        <f t="shared" si="90"/>
        <v>12.45,</v>
      </c>
      <c r="CR320" s="360" t="str">
        <f t="shared" si="90"/>
        <v>0,</v>
      </c>
      <c r="CS320" s="360" t="str">
        <f t="shared" si="90"/>
        <v>0,</v>
      </c>
      <c r="CT320" s="360" t="str">
        <f t="shared" si="90"/>
        <v>0,</v>
      </c>
      <c r="CU320" s="360" t="str">
        <f t="shared" si="90"/>
        <v>0.64,</v>
      </c>
      <c r="CV320" s="360" t="str">
        <f t="shared" si="90"/>
        <v>0,</v>
      </c>
      <c r="CW320" s="360" t="str">
        <f t="shared" si="90"/>
        <v>1.33,</v>
      </c>
      <c r="CX320" s="360" t="str">
        <f t="shared" si="90"/>
        <v>0,</v>
      </c>
      <c r="CY320" s="360" t="str">
        <f t="shared" si="90"/>
        <v>0,</v>
      </c>
      <c r="CZ320" s="360" t="str">
        <f t="shared" si="90"/>
        <v>3.42,</v>
      </c>
      <c r="DA320" s="360">
        <v>10.36</v>
      </c>
      <c r="DK320" s="83">
        <v>61.0</v>
      </c>
      <c r="DM320" s="318" t="s">
        <v>276</v>
      </c>
      <c r="DN320" s="318" t="s">
        <v>633</v>
      </c>
      <c r="DO320" s="318" t="s">
        <v>634</v>
      </c>
      <c r="DP320" s="318" t="s">
        <v>635</v>
      </c>
      <c r="DQ320" s="318" t="s">
        <v>276</v>
      </c>
      <c r="DR320" s="318" t="s">
        <v>276</v>
      </c>
      <c r="DS320" s="318" t="s">
        <v>636</v>
      </c>
      <c r="DT320" s="361" t="s">
        <v>637</v>
      </c>
      <c r="DU320" s="41"/>
      <c r="DV320" s="41"/>
      <c r="DW320" s="41"/>
      <c r="DX320" s="318" t="s">
        <v>276</v>
      </c>
      <c r="DY320" s="318" t="s">
        <v>634</v>
      </c>
      <c r="DZ320" s="318" t="s">
        <v>638</v>
      </c>
      <c r="EA320" s="361">
        <v>5.5</v>
      </c>
      <c r="EB320" s="41"/>
      <c r="EC320" s="41"/>
      <c r="ED320" s="41"/>
      <c r="EE320" s="318" t="s">
        <v>635</v>
      </c>
      <c r="EF320" s="318" t="s">
        <v>634</v>
      </c>
      <c r="EG320" s="364">
        <v>62.17</v>
      </c>
    </row>
    <row r="321" ht="12.0" customHeight="1">
      <c r="S321" s="65">
        <v>37.0</v>
      </c>
      <c r="T321" s="76">
        <v>37.71</v>
      </c>
      <c r="U321" s="79">
        <v>10.7</v>
      </c>
      <c r="V321" s="79">
        <v>19.45</v>
      </c>
      <c r="W321" s="81">
        <v>0.0</v>
      </c>
      <c r="X321" s="79">
        <v>0.41</v>
      </c>
      <c r="Y321" s="79">
        <v>31.09</v>
      </c>
      <c r="Z321" s="81">
        <v>0.0</v>
      </c>
      <c r="AA321" s="81">
        <v>0.0</v>
      </c>
      <c r="AB321" s="81">
        <v>0.0</v>
      </c>
      <c r="AC321" s="81">
        <v>0.0</v>
      </c>
      <c r="AD321" s="81">
        <v>0.0</v>
      </c>
      <c r="AE321" s="81">
        <v>0.0</v>
      </c>
      <c r="AF321" s="81">
        <v>0.0</v>
      </c>
      <c r="AG321" s="81">
        <v>0.0</v>
      </c>
      <c r="AH321" s="82">
        <v>0.64</v>
      </c>
      <c r="CM321" s="360" t="str">
        <f t="shared" ref="CM321:CZ321" si="91">CJ255&amp;","</f>
        <v>0,</v>
      </c>
      <c r="CN321" s="360" t="str">
        <f t="shared" si="91"/>
        <v>30.66,</v>
      </c>
      <c r="CO321" s="360" t="str">
        <f t="shared" si="91"/>
        <v>4.19,</v>
      </c>
      <c r="CP321" s="360" t="str">
        <f t="shared" si="91"/>
        <v>47.33,</v>
      </c>
      <c r="CQ321" s="360" t="str">
        <f t="shared" si="91"/>
        <v>0,</v>
      </c>
      <c r="CR321" s="360" t="str">
        <f t="shared" si="91"/>
        <v>0,</v>
      </c>
      <c r="CS321" s="360" t="str">
        <f t="shared" si="91"/>
        <v>9.05,</v>
      </c>
      <c r="CT321" s="360" t="str">
        <f t="shared" si="91"/>
        <v>0,</v>
      </c>
      <c r="CU321" s="360" t="str">
        <f t="shared" si="91"/>
        <v>0,</v>
      </c>
      <c r="CV321" s="360" t="str">
        <f t="shared" si="91"/>
        <v>0,</v>
      </c>
      <c r="CW321" s="360" t="str">
        <f t="shared" si="91"/>
        <v>0,</v>
      </c>
      <c r="CX321" s="360" t="str">
        <f t="shared" si="91"/>
        <v>0,</v>
      </c>
      <c r="CY321" s="360" t="str">
        <f t="shared" si="91"/>
        <v>0,</v>
      </c>
      <c r="CZ321" s="360" t="str">
        <f t="shared" si="91"/>
        <v>2.72,</v>
      </c>
      <c r="DA321" s="360">
        <v>6.05</v>
      </c>
      <c r="DK321" s="83">
        <v>62.0</v>
      </c>
      <c r="DM321" s="318" t="s">
        <v>639</v>
      </c>
      <c r="DN321" s="318" t="s">
        <v>640</v>
      </c>
      <c r="DO321" s="318" t="s">
        <v>641</v>
      </c>
      <c r="DP321" s="318" t="s">
        <v>276</v>
      </c>
      <c r="DQ321" s="318" t="s">
        <v>276</v>
      </c>
      <c r="DR321" s="318" t="s">
        <v>276</v>
      </c>
      <c r="DS321" s="318" t="s">
        <v>276</v>
      </c>
      <c r="DT321" s="361" t="s">
        <v>642</v>
      </c>
      <c r="DU321" s="41"/>
      <c r="DV321" s="41"/>
      <c r="DW321" s="41"/>
      <c r="DX321" s="318" t="s">
        <v>639</v>
      </c>
      <c r="DY321" s="318" t="s">
        <v>641</v>
      </c>
      <c r="DZ321" s="318" t="s">
        <v>643</v>
      </c>
      <c r="EA321" s="361">
        <v>0.0</v>
      </c>
      <c r="EB321" s="41"/>
      <c r="EC321" s="41"/>
      <c r="ED321" s="41"/>
      <c r="EE321" s="318" t="s">
        <v>639</v>
      </c>
      <c r="EF321" s="318" t="s">
        <v>641</v>
      </c>
      <c r="EG321" s="364">
        <v>28.19</v>
      </c>
    </row>
    <row r="322" ht="12.0" customHeight="1">
      <c r="S322" s="65">
        <v>38.0</v>
      </c>
      <c r="T322" s="76">
        <v>40.96</v>
      </c>
      <c r="U322" s="79">
        <v>36.53</v>
      </c>
      <c r="V322" s="79">
        <v>0.34</v>
      </c>
      <c r="W322" s="81">
        <v>0.0</v>
      </c>
      <c r="X322" s="79">
        <v>10.4</v>
      </c>
      <c r="Y322" s="79">
        <v>9.07</v>
      </c>
      <c r="Z322" s="81">
        <v>0.0</v>
      </c>
      <c r="AA322" s="81">
        <v>0.0</v>
      </c>
      <c r="AB322" s="81">
        <v>0.0</v>
      </c>
      <c r="AC322" s="81">
        <v>0.0</v>
      </c>
      <c r="AD322" s="81">
        <v>0.0</v>
      </c>
      <c r="AE322" s="81">
        <v>0.0</v>
      </c>
      <c r="AF322" s="81">
        <v>0.0</v>
      </c>
      <c r="AG322" s="81">
        <v>0.0</v>
      </c>
      <c r="AH322" s="82">
        <v>2.7</v>
      </c>
      <c r="DK322" s="83">
        <v>63.0</v>
      </c>
      <c r="DM322" s="318" t="s">
        <v>644</v>
      </c>
      <c r="DN322" s="318" t="s">
        <v>645</v>
      </c>
      <c r="DO322" s="318" t="s">
        <v>646</v>
      </c>
      <c r="DP322" s="318" t="s">
        <v>276</v>
      </c>
      <c r="DQ322" s="318" t="s">
        <v>276</v>
      </c>
      <c r="DR322" s="318" t="s">
        <v>276</v>
      </c>
      <c r="DS322" s="318" t="s">
        <v>647</v>
      </c>
      <c r="DT322" s="361" t="s">
        <v>648</v>
      </c>
      <c r="DU322" s="41"/>
      <c r="DV322" s="41"/>
      <c r="DW322" s="41"/>
      <c r="DX322" s="318" t="s">
        <v>644</v>
      </c>
      <c r="DY322" s="318" t="s">
        <v>646</v>
      </c>
      <c r="DZ322" s="318" t="s">
        <v>649</v>
      </c>
      <c r="EA322" s="361">
        <v>0.0</v>
      </c>
      <c r="EB322" s="41"/>
      <c r="EC322" s="41"/>
      <c r="ED322" s="41"/>
      <c r="EE322" s="318" t="s">
        <v>644</v>
      </c>
      <c r="EF322" s="318" t="s">
        <v>646</v>
      </c>
      <c r="EG322" s="364">
        <v>25.96</v>
      </c>
    </row>
    <row r="323" ht="12.0" customHeight="1">
      <c r="S323" s="65">
        <v>39.0</v>
      </c>
      <c r="T323" s="90">
        <v>29.98</v>
      </c>
      <c r="U323" s="392">
        <v>32.7</v>
      </c>
      <c r="V323" s="79">
        <v>0.59</v>
      </c>
      <c r="W323" s="81">
        <v>0.0</v>
      </c>
      <c r="X323" s="79">
        <v>18.9</v>
      </c>
      <c r="Y323" s="79">
        <v>15.63</v>
      </c>
      <c r="Z323" s="81">
        <v>0.0</v>
      </c>
      <c r="AA323" s="81">
        <v>0.0</v>
      </c>
      <c r="AB323" s="81">
        <v>0.0</v>
      </c>
      <c r="AC323" s="81">
        <v>0.0</v>
      </c>
      <c r="AD323" s="81">
        <v>0.0</v>
      </c>
      <c r="AE323" s="81">
        <v>0.0</v>
      </c>
      <c r="AF323" s="81">
        <v>0.0</v>
      </c>
      <c r="AG323" s="81">
        <v>0.0</v>
      </c>
      <c r="AH323" s="82">
        <v>2.2</v>
      </c>
      <c r="DK323" s="83">
        <v>64.0</v>
      </c>
      <c r="DM323" s="318" t="s">
        <v>276</v>
      </c>
      <c r="DN323" s="318" t="s">
        <v>650</v>
      </c>
      <c r="DO323" s="318" t="s">
        <v>651</v>
      </c>
      <c r="DP323" s="318" t="s">
        <v>652</v>
      </c>
      <c r="DQ323" s="318" t="s">
        <v>276</v>
      </c>
      <c r="DR323" s="318" t="s">
        <v>276</v>
      </c>
      <c r="DS323" s="318" t="s">
        <v>653</v>
      </c>
      <c r="DT323" s="361" t="s">
        <v>654</v>
      </c>
      <c r="DU323" s="41"/>
      <c r="DV323" s="41"/>
      <c r="DW323" s="41"/>
      <c r="DX323" s="318" t="s">
        <v>276</v>
      </c>
      <c r="DY323" s="318" t="s">
        <v>651</v>
      </c>
      <c r="DZ323" s="318" t="s">
        <v>655</v>
      </c>
      <c r="EA323" s="361">
        <v>9.05</v>
      </c>
      <c r="EB323" s="41"/>
      <c r="EC323" s="41"/>
      <c r="ED323" s="41"/>
      <c r="EE323" s="318" t="s">
        <v>652</v>
      </c>
      <c r="EF323" s="318" t="s">
        <v>651</v>
      </c>
      <c r="EG323" s="364">
        <v>39.43</v>
      </c>
    </row>
    <row r="324" ht="12.0" customHeight="1">
      <c r="S324" s="65">
        <v>40.0</v>
      </c>
      <c r="T324" s="76">
        <v>38.57</v>
      </c>
      <c r="U324" s="79">
        <v>18.17</v>
      </c>
      <c r="V324" s="79">
        <v>7.16</v>
      </c>
      <c r="W324" s="81">
        <v>0.0</v>
      </c>
      <c r="X324" s="79">
        <v>18.3</v>
      </c>
      <c r="Y324" s="79">
        <v>17.45</v>
      </c>
      <c r="Z324" s="81">
        <v>0.0</v>
      </c>
      <c r="AA324" s="81">
        <v>0.0</v>
      </c>
      <c r="AB324" s="79">
        <v>0.34</v>
      </c>
      <c r="AC324" s="81">
        <v>0.0</v>
      </c>
      <c r="AD324" s="81">
        <v>0.0</v>
      </c>
      <c r="AE324" s="81">
        <v>0.0</v>
      </c>
      <c r="AF324" s="81">
        <v>0.0</v>
      </c>
      <c r="AG324" s="81">
        <v>0.0</v>
      </c>
      <c r="AH324" s="82">
        <v>0.01</v>
      </c>
    </row>
    <row r="325" ht="12.0" customHeight="1">
      <c r="S325" s="65">
        <v>41.0</v>
      </c>
      <c r="T325" s="76">
        <v>37.91</v>
      </c>
      <c r="U325" s="81">
        <v>0.0</v>
      </c>
      <c r="V325" s="81">
        <v>0.0</v>
      </c>
      <c r="W325" s="81">
        <v>0.0</v>
      </c>
      <c r="X325" s="79">
        <v>26.44</v>
      </c>
      <c r="Y325" s="79">
        <v>2.49</v>
      </c>
      <c r="Z325" s="81">
        <v>0.0</v>
      </c>
      <c r="AA325" s="81">
        <v>0.0</v>
      </c>
      <c r="AB325" s="79">
        <v>0.49</v>
      </c>
      <c r="AC325" s="81">
        <v>0.0</v>
      </c>
      <c r="AD325" s="79">
        <v>1.89</v>
      </c>
      <c r="AE325" s="79">
        <v>23.2</v>
      </c>
      <c r="AF325" s="81">
        <v>0.0</v>
      </c>
      <c r="AG325" s="81">
        <v>0.0</v>
      </c>
      <c r="AH325" s="82">
        <v>7.58</v>
      </c>
    </row>
    <row r="326" ht="12.0" customHeight="1">
      <c r="S326" s="65">
        <v>42.0</v>
      </c>
      <c r="T326" s="90">
        <v>20.58</v>
      </c>
      <c r="U326" s="81">
        <v>0.0</v>
      </c>
      <c r="V326" s="79">
        <v>16.26</v>
      </c>
      <c r="W326" s="79">
        <v>19.51</v>
      </c>
      <c r="X326" s="421">
        <v>27.0</v>
      </c>
      <c r="Y326" s="79">
        <v>1.78</v>
      </c>
      <c r="Z326" s="79">
        <v>1.65</v>
      </c>
      <c r="AA326" s="81">
        <v>0.0</v>
      </c>
      <c r="AB326" s="79">
        <v>0.55</v>
      </c>
      <c r="AC326" s="81">
        <v>0.0</v>
      </c>
      <c r="AD326" s="81">
        <v>0.0</v>
      </c>
      <c r="AE326" s="79">
        <v>6.82</v>
      </c>
      <c r="AF326" s="79">
        <v>2.19</v>
      </c>
      <c r="AG326" s="81">
        <v>0.0</v>
      </c>
      <c r="AH326" s="82">
        <v>3.66</v>
      </c>
    </row>
    <row r="327" ht="12.0" customHeight="1">
      <c r="S327" s="65">
        <v>43.0</v>
      </c>
      <c r="T327" s="90">
        <v>21.9</v>
      </c>
      <c r="U327" s="81">
        <v>0.0</v>
      </c>
      <c r="V327" s="400">
        <v>28.33</v>
      </c>
      <c r="W327" s="79">
        <v>9.78</v>
      </c>
      <c r="X327" s="79">
        <v>17.3</v>
      </c>
      <c r="Y327" s="79">
        <v>1.34</v>
      </c>
      <c r="Z327" s="79">
        <v>12.2</v>
      </c>
      <c r="AA327" s="81">
        <v>0.0</v>
      </c>
      <c r="AB327" s="79">
        <v>0.08</v>
      </c>
      <c r="AC327" s="81">
        <v>0.0</v>
      </c>
      <c r="AD327" s="81">
        <v>0.0</v>
      </c>
      <c r="AE327" s="79">
        <v>3.0</v>
      </c>
      <c r="AF327" s="81">
        <v>0.0</v>
      </c>
      <c r="AG327" s="81">
        <v>0.0</v>
      </c>
      <c r="AH327" s="82">
        <v>6.07</v>
      </c>
    </row>
    <row r="328" ht="12.0" customHeight="1">
      <c r="S328" s="65">
        <v>44.0</v>
      </c>
      <c r="T328" s="90">
        <v>14.1</v>
      </c>
      <c r="U328" s="81">
        <v>0.0</v>
      </c>
      <c r="V328" s="400">
        <v>44.91</v>
      </c>
      <c r="W328" s="79">
        <v>0.34</v>
      </c>
      <c r="X328" s="79">
        <v>14.11</v>
      </c>
      <c r="Y328" s="81">
        <v>0.0</v>
      </c>
      <c r="Z328" s="79">
        <v>14.7</v>
      </c>
      <c r="AA328" s="81">
        <v>0.0</v>
      </c>
      <c r="AB328" s="79">
        <v>0.03</v>
      </c>
      <c r="AC328" s="81">
        <v>0.0</v>
      </c>
      <c r="AD328" s="81">
        <v>0.0</v>
      </c>
      <c r="AE328" s="79">
        <v>6.23</v>
      </c>
      <c r="AF328" s="79">
        <v>2.11</v>
      </c>
      <c r="AG328" s="81">
        <v>0.0</v>
      </c>
      <c r="AH328" s="82">
        <v>3.47</v>
      </c>
    </row>
    <row r="329" ht="12.0" customHeight="1">
      <c r="S329" s="65">
        <v>45.0</v>
      </c>
      <c r="T329" s="90">
        <v>3.96</v>
      </c>
      <c r="U329" s="81">
        <v>0.0</v>
      </c>
      <c r="V329" s="400">
        <v>50.84</v>
      </c>
      <c r="W329" s="79">
        <v>0.11</v>
      </c>
      <c r="X329" s="79">
        <v>7.53</v>
      </c>
      <c r="Y329" s="79">
        <v>0.6</v>
      </c>
      <c r="Z329" s="79">
        <v>17.6</v>
      </c>
      <c r="AA329" s="81">
        <v>0.0</v>
      </c>
      <c r="AB329" s="81">
        <v>0.0</v>
      </c>
      <c r="AC329" s="81">
        <v>0.0</v>
      </c>
      <c r="AD329" s="79">
        <v>0.54</v>
      </c>
      <c r="AE329" s="79">
        <v>7.06</v>
      </c>
      <c r="AF329" s="79">
        <v>4.93</v>
      </c>
      <c r="AG329" s="81">
        <v>0.0</v>
      </c>
      <c r="AH329" s="82">
        <v>6.83</v>
      </c>
    </row>
    <row r="330" ht="12.0" customHeight="1">
      <c r="S330" s="65">
        <v>46.0</v>
      </c>
      <c r="T330" s="90">
        <v>7.12</v>
      </c>
      <c r="U330" s="81">
        <v>0.0</v>
      </c>
      <c r="V330" s="400">
        <v>39.14</v>
      </c>
      <c r="W330" s="79">
        <v>2.53</v>
      </c>
      <c r="X330" s="79">
        <v>4.96</v>
      </c>
      <c r="Y330" s="81">
        <v>0.0</v>
      </c>
      <c r="Z330" s="79">
        <v>10.01</v>
      </c>
      <c r="AA330" s="81">
        <v>0.0</v>
      </c>
      <c r="AB330" s="79">
        <v>4.29</v>
      </c>
      <c r="AC330" s="79">
        <v>5.67</v>
      </c>
      <c r="AD330" s="81">
        <v>0.0</v>
      </c>
      <c r="AE330" s="79">
        <v>7.78</v>
      </c>
      <c r="AF330" s="79">
        <v>9.49</v>
      </c>
      <c r="AG330" s="81">
        <v>0.0</v>
      </c>
      <c r="AH330" s="82">
        <v>9.01</v>
      </c>
    </row>
    <row r="331" ht="12.0" customHeight="1">
      <c r="S331" s="65">
        <v>47.0</v>
      </c>
      <c r="T331" s="90">
        <v>14.31</v>
      </c>
      <c r="U331" s="81">
        <v>0.0</v>
      </c>
      <c r="V331" s="400">
        <v>50.42</v>
      </c>
      <c r="W331" s="79">
        <v>8.09</v>
      </c>
      <c r="X331" s="79">
        <v>5.39</v>
      </c>
      <c r="Y331" s="79">
        <v>0.96</v>
      </c>
      <c r="Z331" s="79">
        <v>1.38</v>
      </c>
      <c r="AA331" s="81">
        <v>0.0</v>
      </c>
      <c r="AB331" s="79">
        <v>0.06</v>
      </c>
      <c r="AC331" s="79">
        <v>1.54</v>
      </c>
      <c r="AD331" s="81">
        <v>0.0</v>
      </c>
      <c r="AE331" s="81">
        <v>0.0</v>
      </c>
      <c r="AF331" s="79">
        <v>3.7</v>
      </c>
      <c r="AG331" s="81">
        <v>0.0</v>
      </c>
      <c r="AH331" s="82" t="s">
        <v>133</v>
      </c>
    </row>
    <row r="332" ht="12.0" customHeight="1">
      <c r="S332" s="65">
        <v>48.0</v>
      </c>
      <c r="T332" s="90">
        <v>16.39</v>
      </c>
      <c r="U332" s="81">
        <v>0.0</v>
      </c>
      <c r="V332" s="400">
        <v>27.87</v>
      </c>
      <c r="W332" s="79">
        <v>6.22</v>
      </c>
      <c r="X332" s="79">
        <v>10.41</v>
      </c>
      <c r="Y332" s="81">
        <v>0.0</v>
      </c>
      <c r="Z332" s="79">
        <v>1.48</v>
      </c>
      <c r="AA332" s="79">
        <v>11.82</v>
      </c>
      <c r="AB332" s="79">
        <v>0.62</v>
      </c>
      <c r="AC332" s="81">
        <v>0.0</v>
      </c>
      <c r="AD332" s="79">
        <v>0.31</v>
      </c>
      <c r="AE332" s="81">
        <v>0.0</v>
      </c>
      <c r="AF332" s="79">
        <v>15.8</v>
      </c>
      <c r="AG332" s="81">
        <v>0.0</v>
      </c>
      <c r="AH332" s="82">
        <v>9.08</v>
      </c>
    </row>
    <row r="333" ht="12.0" customHeight="1">
      <c r="S333" s="65">
        <v>49.0</v>
      </c>
      <c r="T333" s="90">
        <v>18.11</v>
      </c>
      <c r="U333" s="81">
        <v>0.0</v>
      </c>
      <c r="V333" s="400">
        <v>33.91</v>
      </c>
      <c r="W333" s="79">
        <v>2.43</v>
      </c>
      <c r="X333" s="79">
        <v>6.21</v>
      </c>
      <c r="Y333" s="79">
        <v>0.6</v>
      </c>
      <c r="Z333" s="79">
        <v>1.68</v>
      </c>
      <c r="AA333" s="79">
        <v>15.08</v>
      </c>
      <c r="AB333" s="81">
        <v>0.0</v>
      </c>
      <c r="AC333" s="81">
        <v>0.0</v>
      </c>
      <c r="AD333" s="79">
        <v>0.11</v>
      </c>
      <c r="AE333" s="81">
        <v>0.0</v>
      </c>
      <c r="AF333" s="79">
        <v>0.97</v>
      </c>
      <c r="AG333" s="81">
        <v>0.0</v>
      </c>
      <c r="AH333" s="82" t="s">
        <v>140</v>
      </c>
    </row>
    <row r="334" ht="12.0" customHeight="1">
      <c r="S334" s="65">
        <v>50.0</v>
      </c>
      <c r="T334" s="76">
        <v>42.88</v>
      </c>
      <c r="U334" s="81">
        <v>0.0</v>
      </c>
      <c r="V334" s="79">
        <v>0.31</v>
      </c>
      <c r="W334" s="81">
        <v>0.0</v>
      </c>
      <c r="X334" s="79">
        <v>17.87</v>
      </c>
      <c r="Y334" s="81">
        <v>0.0</v>
      </c>
      <c r="Z334" s="81">
        <v>0.0</v>
      </c>
      <c r="AA334" s="79">
        <v>30.95</v>
      </c>
      <c r="AB334" s="79">
        <v>0.42</v>
      </c>
      <c r="AC334" s="81">
        <v>0.0</v>
      </c>
      <c r="AD334" s="79">
        <v>4.47</v>
      </c>
      <c r="AE334" s="81">
        <v>0.0</v>
      </c>
      <c r="AF334" s="81">
        <v>0.0</v>
      </c>
      <c r="AG334" s="81">
        <v>0.0</v>
      </c>
      <c r="AH334" s="82">
        <v>3.1</v>
      </c>
    </row>
    <row r="335" ht="12.0" customHeight="1">
      <c r="S335" s="65">
        <v>51.0</v>
      </c>
      <c r="T335" s="90">
        <v>15.41</v>
      </c>
      <c r="U335" s="81">
        <v>0.0</v>
      </c>
      <c r="V335" s="400">
        <v>42.59</v>
      </c>
      <c r="W335" s="79">
        <v>0.53</v>
      </c>
      <c r="X335" s="79">
        <v>10.01</v>
      </c>
      <c r="Y335" s="81">
        <v>0.0</v>
      </c>
      <c r="Z335" s="79">
        <v>5.54</v>
      </c>
      <c r="AA335" s="79">
        <v>17.71</v>
      </c>
      <c r="AB335" s="79">
        <v>0.04</v>
      </c>
      <c r="AC335" s="81">
        <v>0.0</v>
      </c>
      <c r="AD335" s="79">
        <v>1.45</v>
      </c>
      <c r="AE335" s="81">
        <v>0.0</v>
      </c>
      <c r="AF335" s="79">
        <v>1.09</v>
      </c>
      <c r="AG335" s="81">
        <v>0.0</v>
      </c>
      <c r="AH335" s="82">
        <v>5.63</v>
      </c>
    </row>
    <row r="336" ht="12.0" customHeight="1">
      <c r="S336" s="65">
        <v>52.0</v>
      </c>
      <c r="T336" s="90">
        <v>20.7</v>
      </c>
      <c r="U336" s="81">
        <v>0.0</v>
      </c>
      <c r="V336" s="79">
        <v>15.53</v>
      </c>
      <c r="W336" s="81">
        <v>0.0</v>
      </c>
      <c r="X336" s="79">
        <v>19.99</v>
      </c>
      <c r="Y336" s="81">
        <v>0.0</v>
      </c>
      <c r="Z336" s="81">
        <v>0.0</v>
      </c>
      <c r="AA336" s="401">
        <v>25.4</v>
      </c>
      <c r="AB336" s="81">
        <v>0.0</v>
      </c>
      <c r="AC336" s="81">
        <v>0.0</v>
      </c>
      <c r="AD336" s="79">
        <v>0.37</v>
      </c>
      <c r="AE336" s="81">
        <v>0.0</v>
      </c>
      <c r="AF336" s="81">
        <v>0.0</v>
      </c>
      <c r="AG336" s="81">
        <v>0.0</v>
      </c>
      <c r="AH336" s="82" t="s">
        <v>149</v>
      </c>
    </row>
    <row r="337" ht="12.0" customHeight="1">
      <c r="S337" s="65">
        <v>53.0</v>
      </c>
      <c r="T337" s="90">
        <v>20.45</v>
      </c>
      <c r="U337" s="81">
        <v>0.0</v>
      </c>
      <c r="V337" s="79">
        <v>13.82</v>
      </c>
      <c r="W337" s="79">
        <v>0.45</v>
      </c>
      <c r="X337" s="79">
        <v>6.69</v>
      </c>
      <c r="Y337" s="81">
        <v>0.0</v>
      </c>
      <c r="Z337" s="81">
        <v>0.0</v>
      </c>
      <c r="AA337" s="79">
        <v>22.42</v>
      </c>
      <c r="AB337" s="79">
        <v>0.11</v>
      </c>
      <c r="AC337" s="81">
        <v>0.0</v>
      </c>
      <c r="AD337" s="79">
        <v>3.16</v>
      </c>
      <c r="AE337" s="81">
        <v>0.0</v>
      </c>
      <c r="AF337" s="81">
        <v>0.0</v>
      </c>
      <c r="AG337" s="81">
        <v>0.0</v>
      </c>
      <c r="AH337" s="109" t="s">
        <v>154</v>
      </c>
    </row>
    <row r="338" ht="12.0" customHeight="1">
      <c r="S338" s="65">
        <v>54.0</v>
      </c>
      <c r="T338" s="90">
        <v>23.78</v>
      </c>
      <c r="U338" s="81">
        <v>0.0</v>
      </c>
      <c r="V338" s="400">
        <v>43.61</v>
      </c>
      <c r="W338" s="79">
        <v>0.63</v>
      </c>
      <c r="X338" s="79">
        <v>2.02</v>
      </c>
      <c r="Y338" s="81">
        <v>0.0</v>
      </c>
      <c r="Z338" s="81">
        <v>0.0</v>
      </c>
      <c r="AA338" s="79">
        <v>18.14</v>
      </c>
      <c r="AB338" s="79">
        <v>0.14</v>
      </c>
      <c r="AC338" s="79">
        <v>0.01</v>
      </c>
      <c r="AD338" s="79">
        <v>0.62</v>
      </c>
      <c r="AE338" s="81">
        <v>0.0</v>
      </c>
      <c r="AF338" s="79">
        <v>0.92</v>
      </c>
      <c r="AG338" s="81">
        <v>0.0</v>
      </c>
      <c r="AH338" s="82">
        <v>10.13</v>
      </c>
    </row>
    <row r="339" ht="12.0" customHeight="1">
      <c r="S339" s="65">
        <v>55.0</v>
      </c>
      <c r="T339" s="90">
        <v>28.1</v>
      </c>
      <c r="U339" s="81">
        <v>0.0</v>
      </c>
      <c r="V339" s="400">
        <v>36.86</v>
      </c>
      <c r="W339" s="79">
        <v>2.66</v>
      </c>
      <c r="X339" s="79">
        <v>2.78</v>
      </c>
      <c r="Y339" s="81">
        <v>0.0</v>
      </c>
      <c r="Z339" s="81">
        <v>0.0</v>
      </c>
      <c r="AA339" s="79">
        <v>21.58</v>
      </c>
      <c r="AB339" s="81">
        <v>0.0</v>
      </c>
      <c r="AC339" s="81">
        <v>0.0</v>
      </c>
      <c r="AD339" s="79">
        <v>0.05</v>
      </c>
      <c r="AE339" s="81">
        <v>0.0</v>
      </c>
      <c r="AF339" s="81">
        <v>0.0</v>
      </c>
      <c r="AG339" s="81">
        <v>0.0</v>
      </c>
      <c r="AH339" s="82" t="s">
        <v>160</v>
      </c>
    </row>
    <row r="340" ht="12.0" customHeight="1">
      <c r="S340" s="65">
        <v>56.0</v>
      </c>
      <c r="T340" s="110">
        <v>0.0</v>
      </c>
      <c r="U340" s="392">
        <v>84.48</v>
      </c>
      <c r="V340" s="81">
        <v>0.0</v>
      </c>
      <c r="W340" s="79">
        <v>2.76</v>
      </c>
      <c r="X340" s="79">
        <v>2.3</v>
      </c>
      <c r="Y340" s="81">
        <v>0.0</v>
      </c>
      <c r="Z340" s="79">
        <v>3.24</v>
      </c>
      <c r="AA340" s="81">
        <v>0.0</v>
      </c>
      <c r="AB340" s="81">
        <v>0.0</v>
      </c>
      <c r="AC340" s="81">
        <v>0.0</v>
      </c>
      <c r="AD340" s="81">
        <v>0.0</v>
      </c>
      <c r="AE340" s="81">
        <v>0.0</v>
      </c>
      <c r="AF340" s="81">
        <v>0.0</v>
      </c>
      <c r="AG340" s="79">
        <v>1.05</v>
      </c>
      <c r="AH340" s="82">
        <v>6.17</v>
      </c>
    </row>
    <row r="341" ht="12.0" customHeight="1">
      <c r="S341" s="65">
        <v>57.0</v>
      </c>
      <c r="T341" s="90">
        <v>5.02</v>
      </c>
      <c r="U341" s="392">
        <v>66.3</v>
      </c>
      <c r="V341" s="81">
        <v>0.0</v>
      </c>
      <c r="W341" s="79">
        <v>3.76</v>
      </c>
      <c r="X341" s="79">
        <v>1.24</v>
      </c>
      <c r="Y341" s="81">
        <v>0.0</v>
      </c>
      <c r="Z341" s="81">
        <v>0.0</v>
      </c>
      <c r="AA341" s="81">
        <v>0.0</v>
      </c>
      <c r="AB341" s="81">
        <v>0.0</v>
      </c>
      <c r="AC341" s="81">
        <v>0.0</v>
      </c>
      <c r="AD341" s="81">
        <v>0.0</v>
      </c>
      <c r="AE341" s="81">
        <v>0.0</v>
      </c>
      <c r="AF341" s="81">
        <v>0.0</v>
      </c>
      <c r="AG341" s="79">
        <v>2.61</v>
      </c>
      <c r="AH341" s="82">
        <v>21.07</v>
      </c>
    </row>
    <row r="342" ht="12.0" customHeight="1">
      <c r="S342" s="65">
        <v>58.0</v>
      </c>
      <c r="T342" s="90">
        <v>3.06</v>
      </c>
      <c r="U342" s="392">
        <v>87.47</v>
      </c>
      <c r="V342" s="81">
        <v>0.0</v>
      </c>
      <c r="W342" s="79">
        <v>0.73</v>
      </c>
      <c r="X342" s="81">
        <v>0.0</v>
      </c>
      <c r="Y342" s="81">
        <v>0.0</v>
      </c>
      <c r="Z342" s="81">
        <v>0.0</v>
      </c>
      <c r="AA342" s="81">
        <v>0.0</v>
      </c>
      <c r="AB342" s="81">
        <v>0.0</v>
      </c>
      <c r="AC342" s="81">
        <v>0.0</v>
      </c>
      <c r="AD342" s="81">
        <v>0.0</v>
      </c>
      <c r="AE342" s="81">
        <v>0.0</v>
      </c>
      <c r="AF342" s="81">
        <v>0.0</v>
      </c>
      <c r="AG342" s="79">
        <v>1.17</v>
      </c>
      <c r="AH342" s="82">
        <v>7.57</v>
      </c>
    </row>
    <row r="343" ht="12.0" customHeight="1">
      <c r="S343" s="65">
        <v>59.0</v>
      </c>
      <c r="T343" s="110">
        <v>0.0</v>
      </c>
      <c r="U343" s="392">
        <v>40.08</v>
      </c>
      <c r="V343" s="81">
        <v>0.0</v>
      </c>
      <c r="W343" s="79">
        <v>12.17</v>
      </c>
      <c r="X343" s="79">
        <v>18.78</v>
      </c>
      <c r="Y343" s="81">
        <v>0.0</v>
      </c>
      <c r="Z343" s="81">
        <v>0.0</v>
      </c>
      <c r="AA343" s="81">
        <v>0.0</v>
      </c>
      <c r="AB343" s="79">
        <v>7.76</v>
      </c>
      <c r="AC343" s="81">
        <v>0.0</v>
      </c>
      <c r="AD343" s="79">
        <v>1.68</v>
      </c>
      <c r="AE343" s="81">
        <v>0.0</v>
      </c>
      <c r="AF343" s="81">
        <v>0.0</v>
      </c>
      <c r="AG343" s="79">
        <v>0.79</v>
      </c>
      <c r="AH343" s="82">
        <v>18.74</v>
      </c>
    </row>
    <row r="344" ht="12.0" customHeight="1">
      <c r="S344" s="65">
        <v>60.0</v>
      </c>
      <c r="T344" s="110">
        <v>0.0</v>
      </c>
      <c r="U344" s="79">
        <v>24.91</v>
      </c>
      <c r="V344" s="81">
        <v>0.0</v>
      </c>
      <c r="W344" s="79">
        <v>21.33</v>
      </c>
      <c r="X344" s="421">
        <v>42.61</v>
      </c>
      <c r="Y344" s="81">
        <v>0.0</v>
      </c>
      <c r="Z344" s="81">
        <v>0.0</v>
      </c>
      <c r="AA344" s="81">
        <v>0.0</v>
      </c>
      <c r="AB344" s="81">
        <v>0.0</v>
      </c>
      <c r="AC344" s="81">
        <v>0.0</v>
      </c>
      <c r="AD344" s="79">
        <v>1.85</v>
      </c>
      <c r="AE344" s="81">
        <v>0.0</v>
      </c>
      <c r="AF344" s="81">
        <v>0.0</v>
      </c>
      <c r="AG344" s="79">
        <v>0.27</v>
      </c>
      <c r="AH344" s="82">
        <v>9.03</v>
      </c>
    </row>
    <row r="345" ht="12.0" customHeight="1">
      <c r="S345" s="65">
        <v>61.0</v>
      </c>
      <c r="T345" s="110">
        <v>0.0</v>
      </c>
      <c r="U345" s="392">
        <v>45.68</v>
      </c>
      <c r="V345" s="81">
        <v>0.0</v>
      </c>
      <c r="W345" s="79">
        <v>31.59</v>
      </c>
      <c r="X345" s="81">
        <v>0.0</v>
      </c>
      <c r="Y345" s="81">
        <v>0.0</v>
      </c>
      <c r="Z345" s="79">
        <v>5.5</v>
      </c>
      <c r="AA345" s="81">
        <v>0.0</v>
      </c>
      <c r="AB345" s="81">
        <v>0.0</v>
      </c>
      <c r="AC345" s="81">
        <v>0.0</v>
      </c>
      <c r="AD345" s="79">
        <v>0.74</v>
      </c>
      <c r="AE345" s="81">
        <v>0.0</v>
      </c>
      <c r="AF345" s="81">
        <v>0.0</v>
      </c>
      <c r="AG345" s="79">
        <v>0.61</v>
      </c>
      <c r="AH345" s="82">
        <v>15.88</v>
      </c>
    </row>
    <row r="346" ht="12.0" customHeight="1">
      <c r="S346" s="65">
        <v>62.0</v>
      </c>
      <c r="T346" s="90">
        <v>12.0</v>
      </c>
      <c r="U346" s="79">
        <v>26.94</v>
      </c>
      <c r="V346" s="79">
        <v>22.75</v>
      </c>
      <c r="W346" s="397">
        <v>34.22</v>
      </c>
      <c r="X346" s="81">
        <v>0.0</v>
      </c>
      <c r="Y346" s="81">
        <v>0.0</v>
      </c>
      <c r="Z346" s="81">
        <v>0.0</v>
      </c>
      <c r="AA346" s="81">
        <v>0.0</v>
      </c>
      <c r="AB346" s="79">
        <v>2.84</v>
      </c>
      <c r="AC346" s="81">
        <v>0.0</v>
      </c>
      <c r="AD346" s="81">
        <v>0.0</v>
      </c>
      <c r="AE346" s="81">
        <v>0.0</v>
      </c>
      <c r="AF346" s="81">
        <v>0.0</v>
      </c>
      <c r="AG346" s="81">
        <v>0.0</v>
      </c>
      <c r="AH346" s="82">
        <v>1.25</v>
      </c>
    </row>
    <row r="347" ht="12.0" customHeight="1">
      <c r="S347" s="65">
        <v>63.0</v>
      </c>
      <c r="T347" s="76">
        <v>30.52</v>
      </c>
      <c r="U347" s="79">
        <v>12.18</v>
      </c>
      <c r="V347" s="79">
        <v>15.77</v>
      </c>
      <c r="W347" s="79">
        <v>13.33</v>
      </c>
      <c r="X347" s="79">
        <v>12.45</v>
      </c>
      <c r="Y347" s="81">
        <v>0.0</v>
      </c>
      <c r="Z347" s="81">
        <v>0.0</v>
      </c>
      <c r="AA347" s="81">
        <v>0.0</v>
      </c>
      <c r="AB347" s="79">
        <v>0.64</v>
      </c>
      <c r="AC347" s="81">
        <v>0.0</v>
      </c>
      <c r="AD347" s="79">
        <v>1.33</v>
      </c>
      <c r="AE347" s="81">
        <v>0.0</v>
      </c>
      <c r="AF347" s="81">
        <v>0.0</v>
      </c>
      <c r="AG347" s="79">
        <v>3.42</v>
      </c>
      <c r="AH347" s="82">
        <v>10.36</v>
      </c>
    </row>
    <row r="348" ht="12.0" customHeight="1">
      <c r="S348" s="393">
        <v>64.0</v>
      </c>
      <c r="T348" s="112">
        <v>0.0</v>
      </c>
      <c r="U348" s="117">
        <v>30.66</v>
      </c>
      <c r="V348" s="117">
        <v>4.19</v>
      </c>
      <c r="W348" s="426">
        <v>47.33</v>
      </c>
      <c r="X348" s="119">
        <v>0.0</v>
      </c>
      <c r="Y348" s="119">
        <v>0.0</v>
      </c>
      <c r="Z348" s="117">
        <v>9.05</v>
      </c>
      <c r="AA348" s="119">
        <v>0.0</v>
      </c>
      <c r="AB348" s="119">
        <v>0.0</v>
      </c>
      <c r="AC348" s="119">
        <v>0.0</v>
      </c>
      <c r="AD348" s="119">
        <v>0.0</v>
      </c>
      <c r="AE348" s="119">
        <v>0.0</v>
      </c>
      <c r="AF348" s="119">
        <v>0.0</v>
      </c>
      <c r="AG348" s="117">
        <v>2.72</v>
      </c>
      <c r="AH348" s="120">
        <v>6.05</v>
      </c>
    </row>
    <row r="349" ht="12.0" customHeight="1">
      <c r="T349" s="83">
        <f t="shared" ref="T349:AH349" si="92">AVERAGE(T285:T348)</f>
        <v>29.32453125</v>
      </c>
      <c r="U349" s="83">
        <f t="shared" si="92"/>
        <v>16.2240625</v>
      </c>
      <c r="V349" s="83">
        <f t="shared" si="92"/>
        <v>13.0996875</v>
      </c>
      <c r="W349" s="83">
        <f t="shared" si="92"/>
        <v>10.7509375</v>
      </c>
      <c r="X349" s="83">
        <f t="shared" si="92"/>
        <v>9.97546875</v>
      </c>
      <c r="Y349" s="83">
        <f t="shared" si="92"/>
        <v>5.36859375</v>
      </c>
      <c r="Z349" s="83">
        <f t="shared" si="92"/>
        <v>2.84484375</v>
      </c>
      <c r="AA349" s="83">
        <f t="shared" si="92"/>
        <v>2.54875</v>
      </c>
      <c r="AB349" s="83">
        <f t="shared" si="92"/>
        <v>1.0984375</v>
      </c>
      <c r="AC349" s="83">
        <f t="shared" si="92"/>
        <v>1.33921875</v>
      </c>
      <c r="AD349" s="83">
        <f t="shared" si="92"/>
        <v>0.8034375</v>
      </c>
      <c r="AE349" s="83">
        <f t="shared" si="92"/>
        <v>0.84515625</v>
      </c>
      <c r="AF349" s="83">
        <f t="shared" si="92"/>
        <v>0.64484375</v>
      </c>
      <c r="AG349" s="83">
        <f t="shared" si="92"/>
        <v>0.4409375</v>
      </c>
      <c r="AH349" s="83">
        <f t="shared" si="92"/>
        <v>3.497288136</v>
      </c>
      <c r="AI349" s="83">
        <f>SUM(T349:AH349)</f>
        <v>98.80619439</v>
      </c>
    </row>
    <row r="350" ht="12.0" customHeight="1"/>
    <row r="351" ht="12.0" customHeight="1"/>
    <row r="352" ht="12.0" customHeight="1"/>
    <row r="353" ht="12.0" customHeight="1">
      <c r="S353" s="41"/>
      <c r="T353" s="41"/>
      <c r="U353" s="42"/>
      <c r="V353" s="34"/>
      <c r="W353" s="372"/>
      <c r="X353" s="373"/>
      <c r="Y353" s="374"/>
      <c r="Z353" s="375"/>
      <c r="AA353" s="36"/>
      <c r="AB353" s="38"/>
      <c r="AC353" s="376"/>
      <c r="AD353" s="377"/>
      <c r="AE353" s="378"/>
      <c r="AF353" s="38"/>
      <c r="AG353" s="379"/>
      <c r="AH353" s="38"/>
      <c r="AI353" s="380"/>
    </row>
    <row r="354" ht="12.0" customHeight="1">
      <c r="S354" s="41"/>
      <c r="T354" s="151" t="s">
        <v>264</v>
      </c>
      <c r="U354" s="60" t="s">
        <v>12</v>
      </c>
      <c r="V354" s="61" t="s">
        <v>13</v>
      </c>
      <c r="W354" s="61" t="s">
        <v>14</v>
      </c>
      <c r="X354" s="61" t="s">
        <v>15</v>
      </c>
      <c r="Y354" s="61" t="s">
        <v>16</v>
      </c>
      <c r="Z354" s="61" t="s">
        <v>17</v>
      </c>
      <c r="AA354" s="382" t="s">
        <v>18</v>
      </c>
      <c r="AB354" s="382" t="s">
        <v>19</v>
      </c>
      <c r="AC354" s="61" t="s">
        <v>20</v>
      </c>
      <c r="AD354" s="61" t="s">
        <v>21</v>
      </c>
      <c r="AE354" s="61" t="s">
        <v>22</v>
      </c>
      <c r="AF354" s="382" t="s">
        <v>23</v>
      </c>
      <c r="AG354" s="61" t="s">
        <v>24</v>
      </c>
      <c r="AH354" s="61" t="s">
        <v>25</v>
      </c>
      <c r="AI354" s="383" t="s">
        <v>26</v>
      </c>
    </row>
    <row r="355" ht="12.0" customHeight="1">
      <c r="S355" s="151">
        <v>1.0</v>
      </c>
      <c r="T355" s="151" t="s">
        <v>179</v>
      </c>
      <c r="U355" s="442">
        <v>29.324531250000003</v>
      </c>
      <c r="V355" s="443">
        <v>16.2240625</v>
      </c>
      <c r="W355" s="443">
        <v>13.0996875</v>
      </c>
      <c r="X355" s="443">
        <v>10.750937499999997</v>
      </c>
      <c r="Y355" s="443">
        <v>9.97546875</v>
      </c>
      <c r="Z355" s="443">
        <v>5.368593749999999</v>
      </c>
      <c r="AA355" s="443">
        <v>2.8448437500000003</v>
      </c>
      <c r="AB355" s="443">
        <v>2.54875</v>
      </c>
      <c r="AC355" s="443">
        <v>1.0984375</v>
      </c>
      <c r="AD355" s="443">
        <v>1.3392187500000001</v>
      </c>
      <c r="AE355" s="443">
        <v>0.8034374999999998</v>
      </c>
      <c r="AF355" s="443">
        <v>0.84515625</v>
      </c>
      <c r="AG355" s="443">
        <v>0.64484375</v>
      </c>
      <c r="AH355" s="443">
        <v>0.44093749999999987</v>
      </c>
      <c r="AI355" s="444">
        <v>3.49728813559322</v>
      </c>
    </row>
  </sheetData>
  <mergeCells count="710">
    <mergeCell ref="CV1:CV66"/>
    <mergeCell ref="CV71:CV72"/>
    <mergeCell ref="CW71:CW72"/>
    <mergeCell ref="CX71:CX72"/>
    <mergeCell ref="CY71:CY72"/>
    <mergeCell ref="CZ71:CZ72"/>
    <mergeCell ref="CK1:CK66"/>
    <mergeCell ref="DC1:DC66"/>
    <mergeCell ref="CK69:CO69"/>
    <mergeCell ref="CV69:CZ69"/>
    <mergeCell ref="CK71:CK72"/>
    <mergeCell ref="CL71:CL72"/>
    <mergeCell ref="CO71:CO72"/>
    <mergeCell ref="DC71:DC72"/>
    <mergeCell ref="AT1:AT2"/>
    <mergeCell ref="BA1:BH1"/>
    <mergeCell ref="BA2:BH2"/>
    <mergeCell ref="BA3:BH3"/>
    <mergeCell ref="BA4:BH4"/>
    <mergeCell ref="BA5:BH5"/>
    <mergeCell ref="BA6:BH6"/>
    <mergeCell ref="AD1:AD2"/>
    <mergeCell ref="AC67:AD67"/>
    <mergeCell ref="AC68:AD68"/>
    <mergeCell ref="AC69:AD69"/>
    <mergeCell ref="BA66:BH66"/>
    <mergeCell ref="BH68:BL68"/>
    <mergeCell ref="BH69:BL69"/>
    <mergeCell ref="DC69:DG69"/>
    <mergeCell ref="BH70:BL70"/>
    <mergeCell ref="BH71:BL71"/>
    <mergeCell ref="BH72:BL72"/>
    <mergeCell ref="AE73:AF73"/>
    <mergeCell ref="AG73:AH73"/>
    <mergeCell ref="AI73:AJ73"/>
    <mergeCell ref="AK73:AL73"/>
    <mergeCell ref="AM73:AN73"/>
    <mergeCell ref="AZ73:BG73"/>
    <mergeCell ref="BH73:BL73"/>
    <mergeCell ref="M73:N73"/>
    <mergeCell ref="O73:P73"/>
    <mergeCell ref="U73:V73"/>
    <mergeCell ref="W73:X73"/>
    <mergeCell ref="Y73:Z73"/>
    <mergeCell ref="AA73:AB73"/>
    <mergeCell ref="AC73:AD73"/>
    <mergeCell ref="A3:C7"/>
    <mergeCell ref="A24:C29"/>
    <mergeCell ref="A9:C21"/>
    <mergeCell ref="A1:C1"/>
    <mergeCell ref="J1:J2"/>
    <mergeCell ref="K1:K2"/>
    <mergeCell ref="AA1:AA2"/>
    <mergeCell ref="AC1:AC2"/>
    <mergeCell ref="AX1:AX66"/>
    <mergeCell ref="BA28:BH28"/>
    <mergeCell ref="BA29:BH29"/>
    <mergeCell ref="BA21:BH21"/>
    <mergeCell ref="BA22:BH22"/>
    <mergeCell ref="BA23:BH23"/>
    <mergeCell ref="BA24:BH24"/>
    <mergeCell ref="BA25:BH25"/>
    <mergeCell ref="BA26:BH26"/>
    <mergeCell ref="BA27:BH27"/>
    <mergeCell ref="BA37:BH37"/>
    <mergeCell ref="BA38:BH38"/>
    <mergeCell ref="BA30:BH30"/>
    <mergeCell ref="BA31:BH31"/>
    <mergeCell ref="BA32:BH32"/>
    <mergeCell ref="BA33:BH33"/>
    <mergeCell ref="BA34:BH34"/>
    <mergeCell ref="BA35:BH35"/>
    <mergeCell ref="BA36:BH36"/>
    <mergeCell ref="BA46:BH46"/>
    <mergeCell ref="BA47:BH47"/>
    <mergeCell ref="BA39:BH39"/>
    <mergeCell ref="BA40:BH40"/>
    <mergeCell ref="BA41:BH41"/>
    <mergeCell ref="BA42:BH42"/>
    <mergeCell ref="BA43:BH43"/>
    <mergeCell ref="BA44:BH44"/>
    <mergeCell ref="BA45:BH45"/>
    <mergeCell ref="BA55:BH55"/>
    <mergeCell ref="BA56:BH56"/>
    <mergeCell ref="BA48:BH48"/>
    <mergeCell ref="BA49:BH49"/>
    <mergeCell ref="BA50:BH50"/>
    <mergeCell ref="BA51:BH51"/>
    <mergeCell ref="BA52:BH52"/>
    <mergeCell ref="BA53:BH53"/>
    <mergeCell ref="BA54:BH54"/>
    <mergeCell ref="BA7:BH7"/>
    <mergeCell ref="BA8:BH8"/>
    <mergeCell ref="BA9:BH9"/>
    <mergeCell ref="BA10:BH10"/>
    <mergeCell ref="BA11:BH11"/>
    <mergeCell ref="BA12:BH12"/>
    <mergeCell ref="BA13:BH13"/>
    <mergeCell ref="BA14:BH14"/>
    <mergeCell ref="BA15:BH15"/>
    <mergeCell ref="BA16:BH16"/>
    <mergeCell ref="BA17:BH17"/>
    <mergeCell ref="BA18:BH18"/>
    <mergeCell ref="BA19:BH19"/>
    <mergeCell ref="BA20:BH20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BH74:BL74"/>
    <mergeCell ref="BH75:BL75"/>
    <mergeCell ref="BH76:BL76"/>
    <mergeCell ref="BH77:BL77"/>
    <mergeCell ref="CM71:CM72"/>
    <mergeCell ref="CN71:CN72"/>
    <mergeCell ref="DD71:DD72"/>
    <mergeCell ref="DE71:DE72"/>
    <mergeCell ref="DF71:DF72"/>
    <mergeCell ref="DG71:DG72"/>
    <mergeCell ref="K73:L73"/>
    <mergeCell ref="CX73:CX74"/>
    <mergeCell ref="CY73:CY74"/>
    <mergeCell ref="CZ73:CZ74"/>
    <mergeCell ref="DC73:DC74"/>
    <mergeCell ref="DD73:DD74"/>
    <mergeCell ref="DE73:DE74"/>
    <mergeCell ref="DF73:DF74"/>
    <mergeCell ref="DG73:DG74"/>
    <mergeCell ref="Q73:R73"/>
    <mergeCell ref="S73:T73"/>
    <mergeCell ref="K74:L74"/>
    <mergeCell ref="M74:N74"/>
    <mergeCell ref="O74:P74"/>
    <mergeCell ref="Q74:R74"/>
    <mergeCell ref="S74:T74"/>
    <mergeCell ref="CK73:CK74"/>
    <mergeCell ref="CL73:CL74"/>
    <mergeCell ref="CM73:CM74"/>
    <mergeCell ref="CN73:CN74"/>
    <mergeCell ref="CO73:CO74"/>
    <mergeCell ref="CV73:CV74"/>
    <mergeCell ref="CW73:CW74"/>
    <mergeCell ref="CX75:CX76"/>
    <mergeCell ref="CY75:CY76"/>
    <mergeCell ref="CZ75:CZ76"/>
    <mergeCell ref="DC75:DC76"/>
    <mergeCell ref="DD75:DD76"/>
    <mergeCell ref="DE75:DE76"/>
    <mergeCell ref="DF75:DF76"/>
    <mergeCell ref="DG75:DG76"/>
    <mergeCell ref="CK75:CK76"/>
    <mergeCell ref="CL75:CL76"/>
    <mergeCell ref="CM75:CM76"/>
    <mergeCell ref="CN75:CN76"/>
    <mergeCell ref="CO75:CO76"/>
    <mergeCell ref="CV75:CV76"/>
    <mergeCell ref="CW75:CW76"/>
    <mergeCell ref="BH85:BL85"/>
    <mergeCell ref="BH86:BL86"/>
    <mergeCell ref="CK86:CY86"/>
    <mergeCell ref="AW153:AY153"/>
    <mergeCell ref="AZ153:BG153"/>
    <mergeCell ref="AW154:AY154"/>
    <mergeCell ref="AZ154:BG154"/>
    <mergeCell ref="AW155:AY155"/>
    <mergeCell ref="AZ155:BG155"/>
    <mergeCell ref="AW156:AY156"/>
    <mergeCell ref="AZ156:BG156"/>
    <mergeCell ref="AW157:AY157"/>
    <mergeCell ref="AZ157:BG157"/>
    <mergeCell ref="AW158:AY158"/>
    <mergeCell ref="AZ158:BG158"/>
    <mergeCell ref="AW159:AY159"/>
    <mergeCell ref="AZ159:BG159"/>
    <mergeCell ref="AW160:AY160"/>
    <mergeCell ref="AZ160:BG160"/>
    <mergeCell ref="AW170:AY170"/>
    <mergeCell ref="AZ170:BG170"/>
    <mergeCell ref="AW171:AY171"/>
    <mergeCell ref="AZ171:BG171"/>
    <mergeCell ref="AW172:AY172"/>
    <mergeCell ref="AZ172:BG172"/>
    <mergeCell ref="AW173:AY173"/>
    <mergeCell ref="AZ173:BG173"/>
    <mergeCell ref="AW174:AY174"/>
    <mergeCell ref="AZ174:BG174"/>
    <mergeCell ref="AW175:AY175"/>
    <mergeCell ref="AZ175:BG175"/>
    <mergeCell ref="AW176:AY176"/>
    <mergeCell ref="AZ176:BG176"/>
    <mergeCell ref="AW177:AY177"/>
    <mergeCell ref="AZ177:BG177"/>
    <mergeCell ref="AW178:AY178"/>
    <mergeCell ref="AZ178:BG178"/>
    <mergeCell ref="AW179:AY179"/>
    <mergeCell ref="AZ179:BG179"/>
    <mergeCell ref="AW180:AY180"/>
    <mergeCell ref="AZ180:BG180"/>
    <mergeCell ref="AW181:AY181"/>
    <mergeCell ref="AZ181:BG181"/>
    <mergeCell ref="AW182:AY182"/>
    <mergeCell ref="AZ182:BG182"/>
    <mergeCell ref="AW183:AY183"/>
    <mergeCell ref="AZ183:BG183"/>
    <mergeCell ref="AW184:AY184"/>
    <mergeCell ref="AZ184:BG184"/>
    <mergeCell ref="AW185:AY185"/>
    <mergeCell ref="AZ185:BG185"/>
    <mergeCell ref="AW186:AY186"/>
    <mergeCell ref="AZ186:BG186"/>
    <mergeCell ref="AW187:AY187"/>
    <mergeCell ref="AZ187:BG187"/>
    <mergeCell ref="AW188:AY188"/>
    <mergeCell ref="AZ188:BG188"/>
    <mergeCell ref="AW189:AY189"/>
    <mergeCell ref="AZ189:BG189"/>
    <mergeCell ref="AW197:AY197"/>
    <mergeCell ref="AZ197:BG197"/>
    <mergeCell ref="AW198:AY198"/>
    <mergeCell ref="AZ198:BG198"/>
    <mergeCell ref="AW199:AY199"/>
    <mergeCell ref="AZ199:BG199"/>
    <mergeCell ref="AW200:AY200"/>
    <mergeCell ref="AZ200:BG200"/>
    <mergeCell ref="AW201:AY201"/>
    <mergeCell ref="AZ201:BG201"/>
    <mergeCell ref="AZ127:BG127"/>
    <mergeCell ref="AZ128:BG128"/>
    <mergeCell ref="AV136:AV201"/>
    <mergeCell ref="AW136:AY136"/>
    <mergeCell ref="AZ136:BG136"/>
    <mergeCell ref="AW137:AY137"/>
    <mergeCell ref="AZ137:BG137"/>
    <mergeCell ref="BO252:BP252"/>
    <mergeCell ref="BR252:BR268"/>
    <mergeCell ref="BU252:BV252"/>
    <mergeCell ref="BL252:BL268"/>
    <mergeCell ref="BG272:BU272"/>
    <mergeCell ref="AW196:AY196"/>
    <mergeCell ref="AZ196:BG196"/>
    <mergeCell ref="BG234:BU234"/>
    <mergeCell ref="BG244:BU244"/>
    <mergeCell ref="BF252:BF268"/>
    <mergeCell ref="BG252:BH253"/>
    <mergeCell ref="BS252:BT253"/>
    <mergeCell ref="AW190:AY190"/>
    <mergeCell ref="AZ190:BG190"/>
    <mergeCell ref="AW191:AY191"/>
    <mergeCell ref="AZ191:BG191"/>
    <mergeCell ref="AW192:AY192"/>
    <mergeCell ref="AZ192:BG192"/>
    <mergeCell ref="AW193:AY193"/>
    <mergeCell ref="AZ193:BG193"/>
    <mergeCell ref="AW194:AY194"/>
    <mergeCell ref="AZ194:BG194"/>
    <mergeCell ref="AW195:AY195"/>
    <mergeCell ref="AZ195:BG195"/>
    <mergeCell ref="BI252:BJ252"/>
    <mergeCell ref="BM252:BN253"/>
    <mergeCell ref="BA57:BH57"/>
    <mergeCell ref="BA58:BH58"/>
    <mergeCell ref="BA59:BH59"/>
    <mergeCell ref="BA60:BH60"/>
    <mergeCell ref="BA61:BH61"/>
    <mergeCell ref="BA62:BH62"/>
    <mergeCell ref="BA63:BH63"/>
    <mergeCell ref="AZ75:BG75"/>
    <mergeCell ref="AZ76:BG76"/>
    <mergeCell ref="AZ77:BG77"/>
    <mergeCell ref="AZ78:BG78"/>
    <mergeCell ref="AZ79:BG79"/>
    <mergeCell ref="AZ80:BG80"/>
    <mergeCell ref="AZ81:BG81"/>
    <mergeCell ref="AZ82:BG82"/>
    <mergeCell ref="AZ83:BG83"/>
    <mergeCell ref="AZ84:BG84"/>
    <mergeCell ref="AZ85:BG85"/>
    <mergeCell ref="AZ86:BG86"/>
    <mergeCell ref="AZ87:BG87"/>
    <mergeCell ref="AZ88:BG88"/>
    <mergeCell ref="AZ89:BG89"/>
    <mergeCell ref="AZ90:BG90"/>
    <mergeCell ref="AZ91:BG91"/>
    <mergeCell ref="AZ92:BG92"/>
    <mergeCell ref="AZ93:BG93"/>
    <mergeCell ref="AZ94:BG94"/>
    <mergeCell ref="AZ95:BG95"/>
    <mergeCell ref="AZ96:BG96"/>
    <mergeCell ref="AZ97:BG97"/>
    <mergeCell ref="AZ98:BG98"/>
    <mergeCell ref="AZ99:BG99"/>
    <mergeCell ref="AZ100:BG100"/>
    <mergeCell ref="AZ101:BG101"/>
    <mergeCell ref="AZ102:BG102"/>
    <mergeCell ref="AZ103:BG103"/>
    <mergeCell ref="AZ104:BG104"/>
    <mergeCell ref="AZ105:BG105"/>
    <mergeCell ref="AZ106:BG106"/>
    <mergeCell ref="AZ107:BG107"/>
    <mergeCell ref="AZ108:BG108"/>
    <mergeCell ref="AZ109:BG109"/>
    <mergeCell ref="AZ110:BG110"/>
    <mergeCell ref="AZ111:BG111"/>
    <mergeCell ref="AZ112:BG112"/>
    <mergeCell ref="AZ113:BG113"/>
    <mergeCell ref="AZ114:BG114"/>
    <mergeCell ref="AZ72:BG72"/>
    <mergeCell ref="AZ74:BG74"/>
    <mergeCell ref="AZ129:BG129"/>
    <mergeCell ref="AZ130:BG130"/>
    <mergeCell ref="AZ131:BG131"/>
    <mergeCell ref="AZ132:BG132"/>
    <mergeCell ref="BA64:BH64"/>
    <mergeCell ref="BA65:BH65"/>
    <mergeCell ref="AX68:AX133"/>
    <mergeCell ref="AZ68:BG68"/>
    <mergeCell ref="AZ69:BG69"/>
    <mergeCell ref="AZ70:BG70"/>
    <mergeCell ref="AZ71:BG71"/>
    <mergeCell ref="AZ133:BG133"/>
    <mergeCell ref="AZ115:BG115"/>
    <mergeCell ref="AZ116:BG116"/>
    <mergeCell ref="AZ117:BG117"/>
    <mergeCell ref="AZ118:BG118"/>
    <mergeCell ref="AZ119:BG119"/>
    <mergeCell ref="AZ120:BG120"/>
    <mergeCell ref="AZ121:BG121"/>
    <mergeCell ref="AZ122:BG122"/>
    <mergeCell ref="AZ123:BG123"/>
    <mergeCell ref="AZ124:BG124"/>
    <mergeCell ref="AZ125:BG125"/>
    <mergeCell ref="AZ126:BG126"/>
    <mergeCell ref="AW138:AY138"/>
    <mergeCell ref="AZ138:BG138"/>
    <mergeCell ref="AW139:AY139"/>
    <mergeCell ref="AZ139:BG139"/>
    <mergeCell ref="AW140:AY140"/>
    <mergeCell ref="AZ140:BG140"/>
    <mergeCell ref="AW141:AY141"/>
    <mergeCell ref="AZ141:BG141"/>
    <mergeCell ref="AW142:AY142"/>
    <mergeCell ref="AZ142:BG142"/>
    <mergeCell ref="AW143:AY143"/>
    <mergeCell ref="AZ143:BG143"/>
    <mergeCell ref="AW144:AY144"/>
    <mergeCell ref="AZ144:BG144"/>
    <mergeCell ref="AW145:AY145"/>
    <mergeCell ref="AZ145:BG145"/>
    <mergeCell ref="AW146:AY146"/>
    <mergeCell ref="AZ146:BG146"/>
    <mergeCell ref="AW147:AY147"/>
    <mergeCell ref="AZ147:BG147"/>
    <mergeCell ref="AW148:AY148"/>
    <mergeCell ref="AZ148:BG148"/>
    <mergeCell ref="AW149:AY149"/>
    <mergeCell ref="AZ149:BG149"/>
    <mergeCell ref="AW150:AY150"/>
    <mergeCell ref="AZ150:BG150"/>
    <mergeCell ref="AW151:AY151"/>
    <mergeCell ref="AZ151:BG151"/>
    <mergeCell ref="AW152:AY152"/>
    <mergeCell ref="AZ152:BG152"/>
    <mergeCell ref="W145:X145"/>
    <mergeCell ref="Y145:Z145"/>
    <mergeCell ref="AB145:AC146"/>
    <mergeCell ref="AD145:AE145"/>
    <mergeCell ref="N144:S144"/>
    <mergeCell ref="U144:Z144"/>
    <mergeCell ref="AB144:AG144"/>
    <mergeCell ref="G145:H146"/>
    <mergeCell ref="I145:J145"/>
    <mergeCell ref="K145:L145"/>
    <mergeCell ref="AF145:AG145"/>
    <mergeCell ref="Z147:Z149"/>
    <mergeCell ref="AB147:AB149"/>
    <mergeCell ref="AC147:AC149"/>
    <mergeCell ref="AD147:AD149"/>
    <mergeCell ref="AE147:AE149"/>
    <mergeCell ref="AF147:AF149"/>
    <mergeCell ref="AG147:AG149"/>
    <mergeCell ref="R145:S145"/>
    <mergeCell ref="U145:V146"/>
    <mergeCell ref="U147:U149"/>
    <mergeCell ref="V147:V149"/>
    <mergeCell ref="W147:W149"/>
    <mergeCell ref="X147:X149"/>
    <mergeCell ref="Y147:Y149"/>
    <mergeCell ref="AB153:AB156"/>
    <mergeCell ref="AC153:AC156"/>
    <mergeCell ref="AD153:AD156"/>
    <mergeCell ref="AE153:AE156"/>
    <mergeCell ref="AF153:AF156"/>
    <mergeCell ref="AG153:AG156"/>
    <mergeCell ref="U154:U157"/>
    <mergeCell ref="V154:V157"/>
    <mergeCell ref="W154:W157"/>
    <mergeCell ref="X154:X157"/>
    <mergeCell ref="Y154:Y157"/>
    <mergeCell ref="Z154:Z157"/>
    <mergeCell ref="AC150:AC152"/>
    <mergeCell ref="AD150:AD152"/>
    <mergeCell ref="AE150:AE152"/>
    <mergeCell ref="AF150:AF152"/>
    <mergeCell ref="AG150:AG152"/>
    <mergeCell ref="AB161:AG161"/>
    <mergeCell ref="U150:U153"/>
    <mergeCell ref="V150:V153"/>
    <mergeCell ref="W150:W153"/>
    <mergeCell ref="X150:X153"/>
    <mergeCell ref="Y150:Y153"/>
    <mergeCell ref="Z150:Z153"/>
    <mergeCell ref="AB150:AB152"/>
    <mergeCell ref="U161:Z161"/>
    <mergeCell ref="U162:V163"/>
    <mergeCell ref="W162:X162"/>
    <mergeCell ref="Y162:Z162"/>
    <mergeCell ref="AB162:AC163"/>
    <mergeCell ref="AD162:AE162"/>
    <mergeCell ref="AF162:AG162"/>
    <mergeCell ref="AC164:AC166"/>
    <mergeCell ref="AD164:AD166"/>
    <mergeCell ref="AE164:AE166"/>
    <mergeCell ref="AF164:AF166"/>
    <mergeCell ref="AG164:AG166"/>
    <mergeCell ref="AK235:AK263"/>
    <mergeCell ref="U164:U166"/>
    <mergeCell ref="V164:V166"/>
    <mergeCell ref="W164:W166"/>
    <mergeCell ref="X164:X166"/>
    <mergeCell ref="Y164:Y166"/>
    <mergeCell ref="Z164:Z166"/>
    <mergeCell ref="AB164:AB166"/>
    <mergeCell ref="AB170:AB173"/>
    <mergeCell ref="AC170:AC173"/>
    <mergeCell ref="AD170:AD173"/>
    <mergeCell ref="AE170:AE173"/>
    <mergeCell ref="AF170:AF173"/>
    <mergeCell ref="AG170:AG173"/>
    <mergeCell ref="U171:U174"/>
    <mergeCell ref="V171:V174"/>
    <mergeCell ref="W171:W174"/>
    <mergeCell ref="X171:X174"/>
    <mergeCell ref="Y171:Y174"/>
    <mergeCell ref="Z171:Z174"/>
    <mergeCell ref="S235:S269"/>
    <mergeCell ref="N166:S166"/>
    <mergeCell ref="N167:O168"/>
    <mergeCell ref="P167:Q167"/>
    <mergeCell ref="R167:S167"/>
    <mergeCell ref="U167:U170"/>
    <mergeCell ref="V167:V170"/>
    <mergeCell ref="W167:W170"/>
    <mergeCell ref="BH87:BL87"/>
    <mergeCell ref="BH88:BL88"/>
    <mergeCell ref="BH89:BL89"/>
    <mergeCell ref="BH90:BL90"/>
    <mergeCell ref="BH91:BL91"/>
    <mergeCell ref="BH92:BL92"/>
    <mergeCell ref="BH93:BL93"/>
    <mergeCell ref="BH96:BL96"/>
    <mergeCell ref="BH95:BL95"/>
    <mergeCell ref="BH97:BL97"/>
    <mergeCell ref="BH98:BL98"/>
    <mergeCell ref="BH99:BL99"/>
    <mergeCell ref="BH100:BL100"/>
    <mergeCell ref="BH101:BL101"/>
    <mergeCell ref="BH102:BL102"/>
    <mergeCell ref="BH105:BL105"/>
    <mergeCell ref="BH106:BL106"/>
    <mergeCell ref="BH107:BL107"/>
    <mergeCell ref="BH108:BL108"/>
    <mergeCell ref="BH109:BL109"/>
    <mergeCell ref="BH110:BL110"/>
    <mergeCell ref="BH111:BL111"/>
    <mergeCell ref="BH112:BL112"/>
    <mergeCell ref="BH113:BL113"/>
    <mergeCell ref="BH114:BL114"/>
    <mergeCell ref="BH115:BL115"/>
    <mergeCell ref="BH116:BL116"/>
    <mergeCell ref="BH117:BL117"/>
    <mergeCell ref="BH118:BL118"/>
    <mergeCell ref="BH119:BL119"/>
    <mergeCell ref="BH120:BL120"/>
    <mergeCell ref="BH121:BL121"/>
    <mergeCell ref="BH122:BL122"/>
    <mergeCell ref="BH123:BL123"/>
    <mergeCell ref="BH124:BL124"/>
    <mergeCell ref="BH125:BL125"/>
    <mergeCell ref="BH126:BL126"/>
    <mergeCell ref="BH127:BL127"/>
    <mergeCell ref="BH128:BL128"/>
    <mergeCell ref="BH129:BL129"/>
    <mergeCell ref="BH130:BL130"/>
    <mergeCell ref="BH131:BL131"/>
    <mergeCell ref="BH132:BL132"/>
    <mergeCell ref="BH142:BL142"/>
    <mergeCell ref="BH143:BL143"/>
    <mergeCell ref="BH133:BL133"/>
    <mergeCell ref="BH136:BL136"/>
    <mergeCell ref="BH137:BL137"/>
    <mergeCell ref="BH138:BL138"/>
    <mergeCell ref="BH139:BL139"/>
    <mergeCell ref="BH140:BL140"/>
    <mergeCell ref="BH141:BL141"/>
    <mergeCell ref="BH78:BL78"/>
    <mergeCell ref="BH79:BL79"/>
    <mergeCell ref="BH80:BL80"/>
    <mergeCell ref="BH81:BL81"/>
    <mergeCell ref="BH82:BL82"/>
    <mergeCell ref="BH83:BL83"/>
    <mergeCell ref="BH84:BL84"/>
    <mergeCell ref="CX96:CY97"/>
    <mergeCell ref="CZ96:DA96"/>
    <mergeCell ref="BH94:BL94"/>
    <mergeCell ref="CJ95:CO95"/>
    <mergeCell ref="CQ95:CV95"/>
    <mergeCell ref="CX95:DC95"/>
    <mergeCell ref="CJ96:CK97"/>
    <mergeCell ref="CL96:CM96"/>
    <mergeCell ref="DB96:DC96"/>
    <mergeCell ref="CV98:CV100"/>
    <mergeCell ref="CX98:CX100"/>
    <mergeCell ref="CY98:CY100"/>
    <mergeCell ref="CZ98:CZ100"/>
    <mergeCell ref="DA98:DA100"/>
    <mergeCell ref="DB98:DB100"/>
    <mergeCell ref="DC98:DC100"/>
    <mergeCell ref="CY101:CY103"/>
    <mergeCell ref="CZ101:CZ103"/>
    <mergeCell ref="DA101:DA103"/>
    <mergeCell ref="DB101:DB103"/>
    <mergeCell ref="DC101:DC103"/>
    <mergeCell ref="CQ101:CQ104"/>
    <mergeCell ref="CR101:CR104"/>
    <mergeCell ref="CS101:CS104"/>
    <mergeCell ref="CT101:CT104"/>
    <mergeCell ref="CU101:CU104"/>
    <mergeCell ref="CV101:CV104"/>
    <mergeCell ref="CX101:CX103"/>
    <mergeCell ref="BH103:BL103"/>
    <mergeCell ref="BH104:BL104"/>
    <mergeCell ref="CN96:CO96"/>
    <mergeCell ref="CQ96:CR97"/>
    <mergeCell ref="CQ98:CQ100"/>
    <mergeCell ref="CR98:CR100"/>
    <mergeCell ref="CS98:CS100"/>
    <mergeCell ref="CT98:CT100"/>
    <mergeCell ref="CU98:CU100"/>
    <mergeCell ref="CS96:CT96"/>
    <mergeCell ref="CU96:CV96"/>
    <mergeCell ref="CY104:CY107"/>
    <mergeCell ref="CZ104:CZ107"/>
    <mergeCell ref="DA104:DA107"/>
    <mergeCell ref="DB104:DB107"/>
    <mergeCell ref="DC104:DC107"/>
    <mergeCell ref="CX104:CX107"/>
    <mergeCell ref="CQ105:CQ108"/>
    <mergeCell ref="CR105:CR108"/>
    <mergeCell ref="CS105:CS108"/>
    <mergeCell ref="CT105:CT108"/>
    <mergeCell ref="CU105:CU108"/>
    <mergeCell ref="CV105:CV108"/>
    <mergeCell ref="CR127:CR128"/>
    <mergeCell ref="CS127:CS128"/>
    <mergeCell ref="CT127:CT128"/>
    <mergeCell ref="CU127:CU128"/>
    <mergeCell ref="CW127:CW128"/>
    <mergeCell ref="CX127:CX128"/>
    <mergeCell ref="CY127:CY128"/>
    <mergeCell ref="CZ127:CZ128"/>
    <mergeCell ref="CK125:CO125"/>
    <mergeCell ref="CQ125:CU125"/>
    <mergeCell ref="CW125:DA125"/>
    <mergeCell ref="CK127:CK128"/>
    <mergeCell ref="CL127:CL128"/>
    <mergeCell ref="CM127:CM128"/>
    <mergeCell ref="CN127:CN128"/>
    <mergeCell ref="DA127:DA128"/>
    <mergeCell ref="CY129:CY130"/>
    <mergeCell ref="CZ129:CZ130"/>
    <mergeCell ref="DA129:DA130"/>
    <mergeCell ref="CQ129:CQ130"/>
    <mergeCell ref="CR129:CR130"/>
    <mergeCell ref="CS129:CS130"/>
    <mergeCell ref="CT129:CT130"/>
    <mergeCell ref="CU129:CU130"/>
    <mergeCell ref="CW129:CW130"/>
    <mergeCell ref="CX129:CX130"/>
    <mergeCell ref="CO127:CO128"/>
    <mergeCell ref="CQ127:CQ128"/>
    <mergeCell ref="CK129:CK130"/>
    <mergeCell ref="CL129:CL130"/>
    <mergeCell ref="CM129:CM130"/>
    <mergeCell ref="CN129:CN130"/>
    <mergeCell ref="CO129:CO130"/>
    <mergeCell ref="CS131:CS132"/>
    <mergeCell ref="CT131:CT132"/>
    <mergeCell ref="CU131:CU132"/>
    <mergeCell ref="CW131:CW132"/>
    <mergeCell ref="CX131:CX132"/>
    <mergeCell ref="CY131:CY132"/>
    <mergeCell ref="CZ131:CZ132"/>
    <mergeCell ref="DA131:DA132"/>
    <mergeCell ref="CK131:CK132"/>
    <mergeCell ref="CL131:CL132"/>
    <mergeCell ref="CM131:CM132"/>
    <mergeCell ref="CN131:CN132"/>
    <mergeCell ref="CO131:CO132"/>
    <mergeCell ref="CQ131:CQ132"/>
    <mergeCell ref="CR131:CR132"/>
    <mergeCell ref="N145:O146"/>
    <mergeCell ref="P145:Q145"/>
    <mergeCell ref="AZ168:BG168"/>
    <mergeCell ref="BH168:BL168"/>
    <mergeCell ref="AW166:AY166"/>
    <mergeCell ref="AZ166:BG166"/>
    <mergeCell ref="BH166:BL166"/>
    <mergeCell ref="AW167:AY167"/>
    <mergeCell ref="AZ167:BG167"/>
    <mergeCell ref="BH167:BL167"/>
    <mergeCell ref="AW168:AY168"/>
    <mergeCell ref="AF167:AF169"/>
    <mergeCell ref="AG167:AG169"/>
    <mergeCell ref="P191:S192"/>
    <mergeCell ref="V191:Y192"/>
    <mergeCell ref="AB191:AD192"/>
    <mergeCell ref="AB198:AD199"/>
    <mergeCell ref="X167:X170"/>
    <mergeCell ref="Y167:Y170"/>
    <mergeCell ref="Z167:Z170"/>
    <mergeCell ref="AB167:AB169"/>
    <mergeCell ref="AC167:AC169"/>
    <mergeCell ref="AD167:AD169"/>
    <mergeCell ref="AE167:AE169"/>
    <mergeCell ref="BH174:BL174"/>
    <mergeCell ref="BH175:BL175"/>
    <mergeCell ref="BH176:BL176"/>
    <mergeCell ref="BH177:BL177"/>
    <mergeCell ref="BH178:BL178"/>
    <mergeCell ref="BH179:BL179"/>
    <mergeCell ref="BH180:BL180"/>
    <mergeCell ref="BH188:BL188"/>
    <mergeCell ref="BH189:BL189"/>
    <mergeCell ref="DM189:DT190"/>
    <mergeCell ref="DX189:EA190"/>
    <mergeCell ref="EE189:EG190"/>
    <mergeCell ref="BH190:BL190"/>
    <mergeCell ref="BH181:BL181"/>
    <mergeCell ref="BH182:BL182"/>
    <mergeCell ref="BH183:BL183"/>
    <mergeCell ref="BH184:BL184"/>
    <mergeCell ref="BH185:BL185"/>
    <mergeCell ref="BH186:BL186"/>
    <mergeCell ref="BH187:BL187"/>
    <mergeCell ref="BH198:BL198"/>
    <mergeCell ref="BH199:BL199"/>
    <mergeCell ref="BH200:BL200"/>
    <mergeCell ref="BH201:BL201"/>
    <mergeCell ref="BH191:BL191"/>
    <mergeCell ref="BH192:BL192"/>
    <mergeCell ref="BH193:BL193"/>
    <mergeCell ref="BH194:BL194"/>
    <mergeCell ref="BH195:BL195"/>
    <mergeCell ref="BH196:BL196"/>
    <mergeCell ref="BH197:BL197"/>
    <mergeCell ref="BH144:BL144"/>
    <mergeCell ref="BH145:BL145"/>
    <mergeCell ref="BH146:BL146"/>
    <mergeCell ref="BH147:BL147"/>
    <mergeCell ref="BH148:BL148"/>
    <mergeCell ref="BH149:BL149"/>
    <mergeCell ref="BH150:BL150"/>
    <mergeCell ref="BH151:BL151"/>
    <mergeCell ref="BH152:BL152"/>
    <mergeCell ref="BH153:BL153"/>
    <mergeCell ref="BH154:BL154"/>
    <mergeCell ref="BH155:BL155"/>
    <mergeCell ref="BH156:BL156"/>
    <mergeCell ref="BH157:BL157"/>
    <mergeCell ref="AZ162:BG162"/>
    <mergeCell ref="BH162:BL162"/>
    <mergeCell ref="BH158:BL158"/>
    <mergeCell ref="BH159:BL159"/>
    <mergeCell ref="BH160:BL160"/>
    <mergeCell ref="AW161:AY161"/>
    <mergeCell ref="AZ161:BG161"/>
    <mergeCell ref="BH161:BL161"/>
    <mergeCell ref="AW162:AY162"/>
    <mergeCell ref="AZ165:BG165"/>
    <mergeCell ref="BH165:BL165"/>
    <mergeCell ref="AW163:AY163"/>
    <mergeCell ref="AZ163:BG163"/>
    <mergeCell ref="BH163:BL163"/>
    <mergeCell ref="AW164:AY164"/>
    <mergeCell ref="AZ164:BG164"/>
    <mergeCell ref="BH164:BL164"/>
    <mergeCell ref="AW165:AY165"/>
    <mergeCell ref="AW169:AY169"/>
    <mergeCell ref="AZ169:BG169"/>
    <mergeCell ref="BH169:BL169"/>
    <mergeCell ref="BH170:BL170"/>
    <mergeCell ref="BH171:BL171"/>
    <mergeCell ref="BH172:BL172"/>
    <mergeCell ref="BH173:BL173"/>
  </mergeCells>
  <hyperlinks>
    <hyperlink r:id="rId1" ref="L2"/>
    <hyperlink r:id="rId2" ref="M2"/>
    <hyperlink r:id="rId3" ref="N2"/>
    <hyperlink r:id="rId4" ref="O2"/>
    <hyperlink r:id="rId5" ref="P2"/>
    <hyperlink r:id="rId6" ref="Q2"/>
    <hyperlink r:id="rId7" ref="T2"/>
    <hyperlink r:id="rId8" ref="U2"/>
    <hyperlink r:id="rId9" ref="V2"/>
    <hyperlink r:id="rId10" ref="X2"/>
    <hyperlink r:id="rId11" ref="Y2"/>
    <hyperlink r:id="rId12" ref="AE2"/>
    <hyperlink r:id="rId13" ref="AF2"/>
    <hyperlink r:id="rId14" ref="AG2"/>
    <hyperlink r:id="rId15" ref="AH2"/>
    <hyperlink r:id="rId16" ref="AI2"/>
    <hyperlink r:id="rId17" ref="AJ2"/>
    <hyperlink r:id="rId18" ref="AM2"/>
    <hyperlink r:id="rId19" ref="AN2"/>
    <hyperlink r:id="rId20" ref="AO2"/>
    <hyperlink r:id="rId21" ref="AQ2"/>
    <hyperlink r:id="rId22" ref="AR2"/>
    <hyperlink r:id="rId23" ref="AY2"/>
    <hyperlink r:id="rId24" ref="AZ2"/>
    <hyperlink r:id="rId25" ref="BL2"/>
    <hyperlink r:id="rId26" ref="BS2"/>
    <hyperlink r:id="rId27" ref="BT2"/>
    <hyperlink r:id="rId28" ref="BU2"/>
    <hyperlink r:id="rId29" ref="BV2"/>
    <hyperlink r:id="rId30" ref="BW2"/>
    <hyperlink r:id="rId31" ref="BX2"/>
    <hyperlink r:id="rId32" ref="BY2"/>
    <hyperlink r:id="rId33" ref="BZ2"/>
    <hyperlink r:id="rId34" ref="CL2"/>
    <hyperlink r:id="rId35" ref="CM2"/>
    <hyperlink r:id="rId36" ref="CR2"/>
    <hyperlink r:id="rId37" ref="CW2"/>
    <hyperlink r:id="rId38" ref="F3"/>
    <hyperlink r:id="rId39" ref="K3"/>
    <hyperlink r:id="rId40" ref="AD3"/>
    <hyperlink r:id="rId41" ref="F4"/>
    <hyperlink r:id="rId42" location="cite_note-5" ref="G4"/>
    <hyperlink r:id="rId43" ref="K4"/>
    <hyperlink r:id="rId44" ref="AD4"/>
    <hyperlink r:id="rId45" ref="F5"/>
    <hyperlink r:id="rId46" ref="K5"/>
    <hyperlink r:id="rId47" ref="AD5"/>
    <hyperlink r:id="rId48" ref="F6"/>
    <hyperlink r:id="rId49" ref="K6"/>
    <hyperlink r:id="rId50" ref="AD6"/>
    <hyperlink r:id="rId51" ref="F7"/>
    <hyperlink r:id="rId52" ref="K7"/>
    <hyperlink r:id="rId53" ref="AD7"/>
    <hyperlink r:id="rId54" ref="F8"/>
    <hyperlink r:id="rId55" ref="K8"/>
    <hyperlink r:id="rId56" ref="AD8"/>
    <hyperlink r:id="rId57" ref="F9"/>
    <hyperlink r:id="rId58" ref="K9"/>
    <hyperlink r:id="rId59" ref="AD9"/>
    <hyperlink r:id="rId60" ref="F10"/>
    <hyperlink r:id="rId61" ref="K10"/>
    <hyperlink r:id="rId62" ref="AD10"/>
    <hyperlink r:id="rId63" ref="F11"/>
    <hyperlink r:id="rId64" ref="K11"/>
    <hyperlink r:id="rId65" ref="AD11"/>
    <hyperlink r:id="rId66" ref="F12"/>
    <hyperlink r:id="rId67" ref="K12"/>
    <hyperlink r:id="rId68" ref="AD12"/>
    <hyperlink r:id="rId69" ref="F13"/>
    <hyperlink r:id="rId70" ref="K13"/>
    <hyperlink r:id="rId71" ref="AD13"/>
    <hyperlink r:id="rId72" ref="F14"/>
    <hyperlink r:id="rId73" ref="K14"/>
    <hyperlink r:id="rId74" ref="AD14"/>
    <hyperlink r:id="rId75" ref="F15"/>
    <hyperlink r:id="rId76" ref="K15"/>
    <hyperlink r:id="rId77" ref="AD15"/>
    <hyperlink r:id="rId78" ref="F16"/>
    <hyperlink r:id="rId79" location="cite_note-6" ref="G16"/>
    <hyperlink r:id="rId80" ref="K16"/>
    <hyperlink r:id="rId81" ref="AD16"/>
    <hyperlink r:id="rId82" ref="F17"/>
    <hyperlink r:id="rId83" ref="K17"/>
    <hyperlink r:id="rId84" ref="AD17"/>
    <hyperlink r:id="rId85" ref="F18"/>
    <hyperlink r:id="rId86" ref="K18"/>
    <hyperlink r:id="rId87" ref="AD18"/>
    <hyperlink r:id="rId88" ref="F19"/>
    <hyperlink r:id="rId89" ref="K19"/>
    <hyperlink r:id="rId90" ref="AD19"/>
    <hyperlink r:id="rId91" ref="F20"/>
    <hyperlink r:id="rId92" ref="K20"/>
    <hyperlink r:id="rId93" ref="AD20"/>
    <hyperlink r:id="rId94" ref="F21"/>
    <hyperlink r:id="rId95" ref="K21"/>
    <hyperlink r:id="rId96" ref="AD21"/>
    <hyperlink r:id="rId97" ref="F22"/>
    <hyperlink r:id="rId98" ref="K22"/>
    <hyperlink r:id="rId99" ref="AD22"/>
    <hyperlink r:id="rId100" ref="F23"/>
    <hyperlink r:id="rId101" ref="K23"/>
    <hyperlink r:id="rId102" ref="AD23"/>
    <hyperlink r:id="rId103" ref="F24"/>
    <hyperlink r:id="rId104" ref="K24"/>
    <hyperlink r:id="rId105" ref="AD24"/>
    <hyperlink r:id="rId106" ref="F25"/>
    <hyperlink r:id="rId107" ref="K25"/>
    <hyperlink r:id="rId108" ref="AD25"/>
    <hyperlink r:id="rId109" ref="F26"/>
    <hyperlink r:id="rId110" ref="K26"/>
    <hyperlink r:id="rId111" ref="AD26"/>
    <hyperlink r:id="rId112" ref="F27"/>
    <hyperlink r:id="rId113" ref="K27"/>
    <hyperlink r:id="rId114" ref="AD27"/>
    <hyperlink r:id="rId115" ref="F28"/>
    <hyperlink r:id="rId116" ref="K28"/>
    <hyperlink r:id="rId117" ref="AD28"/>
    <hyperlink r:id="rId118" ref="F29"/>
    <hyperlink r:id="rId119" ref="K29"/>
    <hyperlink r:id="rId120" ref="AD29"/>
    <hyperlink r:id="rId121" ref="F30"/>
    <hyperlink r:id="rId122" ref="K30"/>
    <hyperlink r:id="rId123" ref="AD30"/>
    <hyperlink r:id="rId124" ref="F31"/>
    <hyperlink r:id="rId125" ref="K31"/>
    <hyperlink r:id="rId126" ref="AD31"/>
    <hyperlink r:id="rId127" ref="F32"/>
    <hyperlink r:id="rId128" ref="K32"/>
    <hyperlink r:id="rId129" ref="AD32"/>
    <hyperlink r:id="rId130" ref="F33"/>
    <hyperlink r:id="rId131" ref="K33"/>
    <hyperlink r:id="rId132" ref="AD33"/>
    <hyperlink r:id="rId133" ref="F34"/>
    <hyperlink r:id="rId134" ref="K34"/>
    <hyperlink r:id="rId135" ref="AD34"/>
    <hyperlink r:id="rId136" ref="F35"/>
    <hyperlink r:id="rId137" ref="K35"/>
    <hyperlink r:id="rId138" ref="AD35"/>
    <hyperlink r:id="rId139" ref="F36"/>
    <hyperlink r:id="rId140" ref="K36"/>
    <hyperlink r:id="rId141" ref="AD36"/>
    <hyperlink r:id="rId142" ref="F37"/>
    <hyperlink r:id="rId143" ref="K37"/>
    <hyperlink r:id="rId144" ref="AD37"/>
    <hyperlink r:id="rId145" ref="F38"/>
    <hyperlink r:id="rId146" ref="K38"/>
    <hyperlink r:id="rId147" ref="AD38"/>
    <hyperlink r:id="rId148" ref="F39"/>
    <hyperlink r:id="rId149" ref="K39"/>
    <hyperlink r:id="rId150" ref="AD39"/>
    <hyperlink r:id="rId151" ref="F40"/>
    <hyperlink r:id="rId152" ref="K40"/>
    <hyperlink r:id="rId153" ref="AD40"/>
    <hyperlink r:id="rId154" ref="F41"/>
    <hyperlink r:id="rId155" ref="K41"/>
    <hyperlink r:id="rId156" ref="AD41"/>
    <hyperlink r:id="rId157" ref="F42"/>
    <hyperlink r:id="rId158" ref="K42"/>
    <hyperlink r:id="rId159" ref="AD42"/>
    <hyperlink r:id="rId160" ref="F43"/>
    <hyperlink r:id="rId161" ref="K43"/>
    <hyperlink r:id="rId162" ref="AD43"/>
    <hyperlink r:id="rId163" ref="F44"/>
    <hyperlink r:id="rId164" location="cite_note-7" ref="G44"/>
    <hyperlink r:id="rId165" ref="K44"/>
    <hyperlink r:id="rId166" ref="AD44"/>
    <hyperlink r:id="rId167" ref="F45"/>
    <hyperlink r:id="rId168" ref="K45"/>
    <hyperlink r:id="rId169" ref="AD45"/>
    <hyperlink r:id="rId170" ref="F46"/>
    <hyperlink r:id="rId171" ref="K46"/>
    <hyperlink r:id="rId172" ref="AD46"/>
    <hyperlink r:id="rId173" ref="F47"/>
    <hyperlink r:id="rId174" ref="K47"/>
    <hyperlink r:id="rId175" ref="AD47"/>
    <hyperlink r:id="rId176" ref="F48"/>
    <hyperlink r:id="rId177" ref="K48"/>
    <hyperlink r:id="rId178" ref="AD48"/>
    <hyperlink r:id="rId179" ref="F49"/>
    <hyperlink r:id="rId180" ref="K49"/>
    <hyperlink r:id="rId181" ref="AD49"/>
    <hyperlink r:id="rId182" ref="F50"/>
    <hyperlink r:id="rId183" ref="K50"/>
    <hyperlink r:id="rId184" ref="AD50"/>
    <hyperlink r:id="rId185" ref="F51"/>
    <hyperlink r:id="rId186" ref="K51"/>
    <hyperlink r:id="rId187" ref="AD51"/>
    <hyperlink r:id="rId188" ref="F52"/>
    <hyperlink r:id="rId189" ref="K52"/>
    <hyperlink r:id="rId190" ref="AD52"/>
    <hyperlink r:id="rId191" ref="F53"/>
    <hyperlink r:id="rId192" location="cite_note-8" ref="G53"/>
    <hyperlink r:id="rId193" ref="K53"/>
    <hyperlink r:id="rId194" ref="AD53"/>
    <hyperlink r:id="rId195" ref="F54"/>
    <hyperlink r:id="rId196" ref="K54"/>
    <hyperlink r:id="rId197" ref="AD54"/>
    <hyperlink r:id="rId198" ref="F55"/>
    <hyperlink r:id="rId199" ref="K55"/>
    <hyperlink r:id="rId200" ref="AD55"/>
    <hyperlink r:id="rId201" ref="F56"/>
    <hyperlink r:id="rId202" ref="K56"/>
    <hyperlink r:id="rId203" ref="AD56"/>
    <hyperlink r:id="rId204" ref="F57"/>
    <hyperlink r:id="rId205" ref="K57"/>
    <hyperlink r:id="rId206" ref="AD57"/>
    <hyperlink r:id="rId207" ref="F58"/>
    <hyperlink r:id="rId208" ref="K58"/>
    <hyperlink r:id="rId209" ref="AD58"/>
    <hyperlink r:id="rId210" ref="F59"/>
    <hyperlink r:id="rId211" ref="K59"/>
    <hyperlink r:id="rId212" ref="AD59"/>
    <hyperlink r:id="rId213" ref="F60"/>
    <hyperlink r:id="rId214" ref="K60"/>
    <hyperlink r:id="rId215" ref="AD60"/>
    <hyperlink r:id="rId216" ref="F61"/>
    <hyperlink r:id="rId217" ref="K61"/>
    <hyperlink r:id="rId218" ref="AD61"/>
    <hyperlink r:id="rId219" ref="F62"/>
    <hyperlink r:id="rId220" ref="K62"/>
    <hyperlink r:id="rId221" ref="AD62"/>
    <hyperlink r:id="rId222" ref="F63"/>
    <hyperlink r:id="rId223" ref="K63"/>
    <hyperlink r:id="rId224" ref="AD63"/>
    <hyperlink r:id="rId225" ref="F64"/>
    <hyperlink r:id="rId226" ref="K64"/>
    <hyperlink r:id="rId227" ref="AD64"/>
    <hyperlink r:id="rId228" ref="F65"/>
    <hyperlink r:id="rId229" ref="K65"/>
    <hyperlink r:id="rId230" ref="AD65"/>
    <hyperlink r:id="rId231" ref="F66"/>
    <hyperlink r:id="rId232" ref="K66"/>
    <hyperlink r:id="rId233" ref="AD66"/>
    <hyperlink r:id="rId234" ref="AY69"/>
    <hyperlink r:id="rId235" ref="BR69"/>
    <hyperlink r:id="rId236" ref="BU69"/>
    <hyperlink r:id="rId237" ref="CK71"/>
    <hyperlink r:id="rId238" ref="CV71"/>
    <hyperlink r:id="rId239" ref="CK73"/>
    <hyperlink r:id="rId240" ref="K74"/>
    <hyperlink r:id="rId241" ref="M74"/>
    <hyperlink r:id="rId242" ref="O74"/>
    <hyperlink r:id="rId243" ref="Q74"/>
    <hyperlink r:id="rId244" ref="S74"/>
    <hyperlink r:id="rId245" ref="U74"/>
    <hyperlink r:id="rId246" ref="AA74"/>
    <hyperlink r:id="rId247" ref="AC74"/>
    <hyperlink r:id="rId248" ref="AE74"/>
    <hyperlink r:id="rId249" ref="AI74"/>
    <hyperlink r:id="rId250" ref="AK74"/>
    <hyperlink r:id="rId251" ref="H76"/>
    <hyperlink r:id="rId252" ref="H77"/>
    <hyperlink r:id="rId253" ref="H78"/>
    <hyperlink r:id="rId254" ref="H79"/>
    <hyperlink r:id="rId255" ref="H80"/>
    <hyperlink r:id="rId256" ref="CK80"/>
    <hyperlink r:id="rId257" ref="H81"/>
    <hyperlink r:id="rId258" ref="H82"/>
    <hyperlink r:id="rId259" ref="H83"/>
    <hyperlink r:id="rId260" ref="H84"/>
    <hyperlink r:id="rId261" ref="H85"/>
    <hyperlink r:id="rId262" ref="H86"/>
    <hyperlink r:id="rId263" ref="H87"/>
    <hyperlink r:id="rId264" ref="H88"/>
    <hyperlink r:id="rId265" ref="H89"/>
    <hyperlink r:id="rId266" ref="H90"/>
    <hyperlink r:id="rId267" ref="H91"/>
    <hyperlink r:id="rId268" ref="H92"/>
    <hyperlink r:id="rId269" ref="H93"/>
    <hyperlink r:id="rId270" ref="H94"/>
    <hyperlink r:id="rId271" ref="H95"/>
    <hyperlink r:id="rId272" ref="H96"/>
    <hyperlink r:id="rId273" ref="H97"/>
    <hyperlink r:id="rId274" ref="H98"/>
    <hyperlink r:id="rId275" ref="H99"/>
    <hyperlink r:id="rId276" ref="CK99"/>
    <hyperlink r:id="rId277" ref="H100"/>
    <hyperlink r:id="rId278" ref="CK100"/>
    <hyperlink r:id="rId279" ref="H101"/>
    <hyperlink r:id="rId280" ref="CR101"/>
    <hyperlink r:id="rId281" ref="H102"/>
    <hyperlink r:id="rId282" ref="H103"/>
    <hyperlink r:id="rId283" ref="H104"/>
    <hyperlink r:id="rId284" ref="H105"/>
    <hyperlink r:id="rId285" ref="H106"/>
    <hyperlink r:id="rId286" ref="H107"/>
    <hyperlink r:id="rId287" ref="CK107"/>
    <hyperlink r:id="rId288" ref="H108"/>
    <hyperlink r:id="rId289" ref="CK108"/>
    <hyperlink r:id="rId290" ref="H109"/>
    <hyperlink r:id="rId291" ref="H110"/>
    <hyperlink r:id="rId292" ref="H111"/>
    <hyperlink r:id="rId293" location="cite_note-12" ref="CK111"/>
    <hyperlink r:id="rId294" ref="H112"/>
    <hyperlink r:id="rId295" location="cite_note-13" ref="CK112"/>
    <hyperlink r:id="rId296" ref="H113"/>
    <hyperlink r:id="rId297" ref="H114"/>
    <hyperlink r:id="rId298" ref="H115"/>
    <hyperlink r:id="rId299" ref="H116"/>
    <hyperlink r:id="rId300" ref="H117"/>
    <hyperlink r:id="rId301" ref="H118"/>
    <hyperlink r:id="rId302" ref="H119"/>
    <hyperlink r:id="rId303" ref="H120"/>
    <hyperlink r:id="rId304" ref="H121"/>
    <hyperlink r:id="rId305" ref="H122"/>
    <hyperlink r:id="rId306" ref="H123"/>
    <hyperlink r:id="rId307" ref="H124"/>
    <hyperlink r:id="rId308" ref="H125"/>
    <hyperlink r:id="rId309" ref="H126"/>
    <hyperlink r:id="rId310" ref="H127"/>
    <hyperlink r:id="rId311" ref="CK127"/>
    <hyperlink r:id="rId312" ref="CQ127"/>
    <hyperlink r:id="rId313" ref="H128"/>
    <hyperlink r:id="rId314" ref="H129"/>
    <hyperlink r:id="rId315" ref="CK129"/>
    <hyperlink r:id="rId316" ref="H130"/>
    <hyperlink r:id="rId317" ref="H131"/>
    <hyperlink r:id="rId318" ref="H132"/>
    <hyperlink r:id="rId319" ref="H133"/>
    <hyperlink r:id="rId320" ref="H134"/>
    <hyperlink r:id="rId321" ref="H135"/>
    <hyperlink r:id="rId322" ref="H136"/>
    <hyperlink r:id="rId323" ref="CK136"/>
    <hyperlink r:id="rId324" ref="H137"/>
    <hyperlink r:id="rId325" ref="BR137"/>
    <hyperlink r:id="rId326" ref="H138"/>
    <hyperlink r:id="rId327" ref="H139"/>
    <hyperlink r:id="rId328" ref="H147"/>
    <hyperlink r:id="rId329" ref="H148"/>
    <hyperlink r:id="rId330" ref="O148"/>
    <hyperlink r:id="rId331" ref="H149"/>
    <hyperlink r:id="rId332" ref="O149"/>
    <hyperlink r:id="rId333" ref="H150"/>
    <hyperlink r:id="rId334" ref="V150"/>
    <hyperlink r:id="rId335" ref="H151"/>
    <hyperlink r:id="rId336" ref="H152"/>
    <hyperlink r:id="rId337" ref="H155"/>
    <hyperlink r:id="rId338" ref="H156"/>
    <hyperlink r:id="rId339" ref="O156"/>
    <hyperlink r:id="rId340" ref="H157"/>
    <hyperlink r:id="rId341" ref="O157"/>
    <hyperlink r:id="rId342" ref="H159"/>
    <hyperlink r:id="rId343" location="cite_note-12" ref="O160"/>
    <hyperlink r:id="rId344" location="cite_note-13" ref="O161"/>
    <hyperlink r:id="rId345" ref="H163"/>
    <hyperlink r:id="rId346" ref="H164"/>
    <hyperlink r:id="rId347" location="cite_note-12" ref="H167"/>
    <hyperlink r:id="rId348" ref="V167"/>
    <hyperlink r:id="rId349" location="cite_note-13" ref="H168"/>
    <hyperlink r:id="rId350" ref="O170"/>
    <hyperlink r:id="rId351" ref="O171"/>
    <hyperlink r:id="rId352" ref="O178"/>
    <hyperlink r:id="rId353" ref="O179"/>
    <hyperlink r:id="rId354" location="cite_note-12" ref="O182"/>
    <hyperlink r:id="rId355" location="cite_note-13" ref="O183"/>
    <hyperlink r:id="rId356" ref="K193"/>
    <hyperlink r:id="rId357" ref="Q193"/>
    <hyperlink r:id="rId358" ref="W193"/>
    <hyperlink r:id="rId359" ref="K194"/>
    <hyperlink r:id="rId360" ref="Q194"/>
    <hyperlink r:id="rId361" ref="W194"/>
    <hyperlink r:id="rId362" ref="K195"/>
    <hyperlink r:id="rId363" ref="Q195"/>
    <hyperlink r:id="rId364" ref="W195"/>
    <hyperlink r:id="rId365" ref="K196"/>
    <hyperlink r:id="rId366" ref="Q196"/>
    <hyperlink r:id="rId367" ref="W196"/>
    <hyperlink r:id="rId368" ref="K197"/>
    <hyperlink r:id="rId369" ref="Q197"/>
    <hyperlink r:id="rId370" ref="W197"/>
    <hyperlink r:id="rId371" ref="K198"/>
    <hyperlink r:id="rId372" ref="Q198"/>
    <hyperlink r:id="rId373" ref="W198"/>
    <hyperlink r:id="rId374" ref="K199"/>
    <hyperlink r:id="rId375" ref="Q199"/>
    <hyperlink r:id="rId376" ref="W199"/>
    <hyperlink r:id="rId377" ref="K200"/>
    <hyperlink r:id="rId378" ref="Q200"/>
    <hyperlink r:id="rId379" ref="W200"/>
    <hyperlink r:id="rId380" ref="K201"/>
    <hyperlink r:id="rId381" ref="Q201"/>
    <hyperlink r:id="rId382" ref="W201"/>
    <hyperlink r:id="rId383" ref="K202"/>
    <hyperlink r:id="rId384" ref="Q202"/>
    <hyperlink r:id="rId385" ref="W202"/>
    <hyperlink r:id="rId386" ref="K203"/>
    <hyperlink r:id="rId387" ref="Q203"/>
    <hyperlink r:id="rId388" ref="W203"/>
    <hyperlink r:id="rId389" ref="K204"/>
    <hyperlink r:id="rId390" ref="Q204"/>
    <hyperlink r:id="rId391" ref="W204"/>
    <hyperlink r:id="rId392" ref="K205"/>
    <hyperlink r:id="rId393" ref="Q205"/>
    <hyperlink r:id="rId394" ref="W205"/>
    <hyperlink r:id="rId395" ref="K206"/>
    <hyperlink r:id="rId396" ref="Q206"/>
    <hyperlink r:id="rId397" ref="W206"/>
    <hyperlink r:id="rId398" ref="K207"/>
    <hyperlink r:id="rId399" ref="Q207"/>
    <hyperlink r:id="rId400" ref="W207"/>
    <hyperlink r:id="rId401" ref="K208"/>
    <hyperlink r:id="rId402" ref="Q208"/>
    <hyperlink r:id="rId403" ref="W208"/>
    <hyperlink r:id="rId404" ref="K209"/>
    <hyperlink r:id="rId405" ref="Q209"/>
    <hyperlink r:id="rId406" ref="W209"/>
    <hyperlink r:id="rId407" ref="K210"/>
    <hyperlink r:id="rId408" ref="Q210"/>
    <hyperlink r:id="rId409" ref="W210"/>
    <hyperlink r:id="rId410" ref="K211"/>
    <hyperlink r:id="rId411" ref="Q211"/>
    <hyperlink r:id="rId412" ref="W211"/>
    <hyperlink r:id="rId413" ref="K212"/>
    <hyperlink r:id="rId414" ref="Q212"/>
    <hyperlink r:id="rId415" ref="W212"/>
    <hyperlink r:id="rId416" ref="K213"/>
    <hyperlink r:id="rId417" ref="Q213"/>
    <hyperlink r:id="rId418" ref="W213"/>
    <hyperlink r:id="rId419" ref="K214"/>
    <hyperlink r:id="rId420" ref="Q214"/>
    <hyperlink r:id="rId421" ref="W214"/>
    <hyperlink r:id="rId422" ref="K215"/>
    <hyperlink r:id="rId423" ref="Q215"/>
    <hyperlink r:id="rId424" ref="W215"/>
    <hyperlink r:id="rId425" ref="K216"/>
    <hyperlink r:id="rId426" ref="Q216"/>
    <hyperlink r:id="rId427" ref="W216"/>
    <hyperlink r:id="rId428" ref="K217"/>
    <hyperlink r:id="rId429" ref="Q217"/>
    <hyperlink r:id="rId430" ref="W217"/>
    <hyperlink r:id="rId431" ref="K218"/>
    <hyperlink r:id="rId432" ref="Q218"/>
    <hyperlink r:id="rId433" ref="W218"/>
    <hyperlink r:id="rId434" ref="K219"/>
    <hyperlink r:id="rId435" ref="Q219"/>
    <hyperlink r:id="rId436" ref="W219"/>
    <hyperlink r:id="rId437" ref="K220"/>
    <hyperlink r:id="rId438" ref="Q220"/>
    <hyperlink r:id="rId439" ref="W220"/>
    <hyperlink r:id="rId440" ref="K221"/>
    <hyperlink r:id="rId441" ref="Q221"/>
    <hyperlink r:id="rId442" ref="W221"/>
    <hyperlink r:id="rId443" ref="K222"/>
    <hyperlink r:id="rId444" ref="Q222"/>
    <hyperlink r:id="rId445" ref="K223"/>
    <hyperlink r:id="rId446" ref="Q223"/>
    <hyperlink r:id="rId447" ref="K224"/>
    <hyperlink r:id="rId448" ref="Q224"/>
    <hyperlink r:id="rId449" ref="K225"/>
    <hyperlink r:id="rId450" ref="Q225"/>
    <hyperlink r:id="rId451" ref="K226"/>
    <hyperlink r:id="rId452" ref="Q226"/>
    <hyperlink r:id="rId453" ref="K227"/>
    <hyperlink r:id="rId454" ref="Q227"/>
    <hyperlink r:id="rId455" ref="K228"/>
    <hyperlink r:id="rId456" ref="K229"/>
    <hyperlink r:id="rId457" ref="K230"/>
    <hyperlink r:id="rId458" ref="K231"/>
    <hyperlink r:id="rId459" ref="K232"/>
    <hyperlink r:id="rId460" ref="K233"/>
    <hyperlink r:id="rId461" ref="K234"/>
    <hyperlink r:id="rId462" ref="U234"/>
    <hyperlink r:id="rId463" ref="V234"/>
    <hyperlink r:id="rId464" ref="W234"/>
    <hyperlink r:id="rId465" ref="X234"/>
    <hyperlink r:id="rId466" ref="Y234"/>
    <hyperlink r:id="rId467" ref="Z234"/>
    <hyperlink r:id="rId468" ref="AC234"/>
    <hyperlink r:id="rId469" ref="AD234"/>
    <hyperlink r:id="rId470" ref="AE234"/>
    <hyperlink r:id="rId471" ref="AG234"/>
    <hyperlink r:id="rId472" ref="AH234"/>
    <hyperlink r:id="rId473" ref="AM234"/>
    <hyperlink r:id="rId474" ref="AN234"/>
    <hyperlink r:id="rId475" ref="AO234"/>
    <hyperlink r:id="rId476" ref="AP234"/>
    <hyperlink r:id="rId477" ref="AQ234"/>
    <hyperlink r:id="rId478" ref="AR234"/>
    <hyperlink r:id="rId479" ref="AU234"/>
    <hyperlink r:id="rId480" ref="AV234"/>
    <hyperlink r:id="rId481" ref="AW234"/>
    <hyperlink r:id="rId482" ref="AY234"/>
    <hyperlink r:id="rId483" ref="AZ234"/>
    <hyperlink r:id="rId484" ref="K235"/>
    <hyperlink r:id="rId485" ref="K236"/>
    <hyperlink r:id="rId486" ref="BG236"/>
    <hyperlink r:id="rId487" ref="BH236"/>
    <hyperlink r:id="rId488" ref="BI236"/>
    <hyperlink r:id="rId489" ref="BJ236"/>
    <hyperlink r:id="rId490" ref="BK236"/>
    <hyperlink r:id="rId491" ref="BL236"/>
    <hyperlink r:id="rId492" ref="BO236"/>
    <hyperlink r:id="rId493" ref="BP236"/>
    <hyperlink r:id="rId494" ref="BQ236"/>
    <hyperlink r:id="rId495" ref="BS236"/>
    <hyperlink r:id="rId496" ref="BT236"/>
    <hyperlink r:id="rId497" ref="K237"/>
    <hyperlink r:id="rId498" ref="K238"/>
    <hyperlink r:id="rId499" ref="K239"/>
    <hyperlink r:id="rId500" ref="K240"/>
    <hyperlink r:id="rId501" ref="K241"/>
    <hyperlink r:id="rId502" ref="K242"/>
    <hyperlink r:id="rId503" ref="K243"/>
    <hyperlink r:id="rId504" ref="K244"/>
    <hyperlink r:id="rId505" ref="K245"/>
    <hyperlink r:id="rId506" ref="K246"/>
    <hyperlink r:id="rId507" ref="BG246"/>
    <hyperlink r:id="rId508" ref="BH246"/>
    <hyperlink r:id="rId509" ref="BI246"/>
    <hyperlink r:id="rId510" ref="BJ246"/>
    <hyperlink r:id="rId511" ref="BK246"/>
    <hyperlink r:id="rId512" ref="BL246"/>
    <hyperlink r:id="rId513" ref="BO246"/>
    <hyperlink r:id="rId514" ref="BP246"/>
    <hyperlink r:id="rId515" ref="BQ246"/>
    <hyperlink r:id="rId516" ref="BS246"/>
    <hyperlink r:id="rId517" ref="BT246"/>
    <hyperlink r:id="rId518" ref="K247"/>
    <hyperlink r:id="rId519" ref="K248"/>
    <hyperlink r:id="rId520" ref="K249"/>
    <hyperlink r:id="rId521" ref="K250"/>
    <hyperlink r:id="rId522" ref="K251"/>
    <hyperlink r:id="rId523" ref="K252"/>
    <hyperlink r:id="rId524" ref="K253"/>
    <hyperlink r:id="rId525" ref="K254"/>
    <hyperlink r:id="rId526" ref="BH254"/>
    <hyperlink r:id="rId527" ref="BN254"/>
    <hyperlink r:id="rId528" ref="BT254"/>
    <hyperlink r:id="rId529" ref="K255"/>
    <hyperlink r:id="rId530" ref="BH255"/>
    <hyperlink r:id="rId531" ref="BN255"/>
    <hyperlink r:id="rId532" ref="BT255"/>
    <hyperlink r:id="rId533" ref="K256"/>
    <hyperlink r:id="rId534" ref="BH256"/>
    <hyperlink r:id="rId535" ref="BN256"/>
    <hyperlink r:id="rId536" ref="BT256"/>
    <hyperlink r:id="rId537" ref="BH257"/>
    <hyperlink r:id="rId538" ref="BN257"/>
    <hyperlink r:id="rId539" ref="BT257"/>
    <hyperlink r:id="rId540" ref="BH258"/>
    <hyperlink r:id="rId541" ref="BN258"/>
    <hyperlink r:id="rId542" ref="BT258"/>
    <hyperlink r:id="rId543" ref="BH259"/>
    <hyperlink r:id="rId544" ref="BN259"/>
    <hyperlink r:id="rId545" ref="BT259"/>
    <hyperlink r:id="rId546" ref="BH262"/>
    <hyperlink r:id="rId547" ref="BN262"/>
    <hyperlink r:id="rId548" ref="BT262"/>
    <hyperlink r:id="rId549" ref="BH263"/>
    <hyperlink r:id="rId550" ref="BN263"/>
    <hyperlink r:id="rId551" ref="BT263"/>
    <hyperlink r:id="rId552" ref="BH264"/>
    <hyperlink r:id="rId553" ref="BN264"/>
    <hyperlink r:id="rId554" ref="BT264"/>
    <hyperlink r:id="rId555" ref="BH266"/>
    <hyperlink r:id="rId556" ref="BN266"/>
    <hyperlink r:id="rId557" ref="BT266"/>
    <hyperlink r:id="rId558" ref="T274"/>
    <hyperlink r:id="rId559" ref="U274"/>
    <hyperlink r:id="rId560" ref="V274"/>
    <hyperlink r:id="rId561" ref="W274"/>
    <hyperlink r:id="rId562" ref="X274"/>
    <hyperlink r:id="rId563" ref="Y274"/>
    <hyperlink r:id="rId564" ref="AB274"/>
    <hyperlink r:id="rId565" ref="AC274"/>
    <hyperlink r:id="rId566" ref="AD274"/>
    <hyperlink r:id="rId567" ref="AF274"/>
    <hyperlink r:id="rId568" ref="AG274"/>
    <hyperlink r:id="rId569" ref="T284"/>
    <hyperlink r:id="rId570" ref="U284"/>
    <hyperlink r:id="rId571" ref="V284"/>
    <hyperlink r:id="rId572" ref="W284"/>
    <hyperlink r:id="rId573" ref="X284"/>
    <hyperlink r:id="rId574" ref="Y284"/>
    <hyperlink r:id="rId575" ref="AB284"/>
    <hyperlink r:id="rId576" ref="AC284"/>
    <hyperlink r:id="rId577" ref="AD284"/>
    <hyperlink r:id="rId578" ref="AF284"/>
    <hyperlink r:id="rId579" ref="AG284"/>
    <hyperlink r:id="rId580" ref="U354"/>
    <hyperlink r:id="rId581" ref="V354"/>
    <hyperlink r:id="rId582" ref="W354"/>
    <hyperlink r:id="rId583" ref="X354"/>
    <hyperlink r:id="rId584" ref="Y354"/>
    <hyperlink r:id="rId585" ref="Z354"/>
    <hyperlink r:id="rId586" ref="AC354"/>
    <hyperlink r:id="rId587" ref="AD354"/>
    <hyperlink r:id="rId588" ref="AE354"/>
    <hyperlink r:id="rId589" ref="AG354"/>
    <hyperlink r:id="rId590" ref="AH354"/>
  </hyperlinks>
  <printOptions/>
  <pageMargins bottom="0.75" footer="0.0" header="0.0" left="0.7" right="0.7" top="0.75"/>
  <pageSetup orientation="landscape"/>
  <drawing r:id="rId59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2026-04-08T16:12:56Z</dcterms:created>
  <dc:creator>Oliwier Jankowski (187262)</dc:creator>
</cp:coreProperties>
</file>